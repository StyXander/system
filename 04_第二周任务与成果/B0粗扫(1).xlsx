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 activeTab="2"/>
  </bookViews>
  <sheets>
    <sheet name="2025vs2024" sheetId="6" r:id="rId1"/>
    <sheet name="2024vs2023" sheetId="7" r:id="rId2"/>
    <sheet name="2023vs2022" sheetId="8" r:id="rId3"/>
    <sheet name="汇总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<sst xmlns="http://schemas.openxmlformats.org/spreadsheetml/2006/main" count="86" uniqueCount="35">
  <si>
    <t>指标</t>
  </si>
  <si>
    <t>数值</t>
  </si>
  <si>
    <t>备注</t>
  </si>
  <si>
    <t>2025年营业收入（元）</t>
  </si>
  <si>
    <t/>
  </si>
  <si>
    <t>2024年营业收入（元）</t>
  </si>
  <si>
    <t>收入增长率</t>
  </si>
  <si>
    <t>自动计算</t>
  </si>
  <si>
    <t>2025年末应收账款（元）</t>
  </si>
  <si>
    <t>2024年末应收账款（元）</t>
  </si>
  <si>
    <t>应收增长率</t>
  </si>
  <si>
    <t>比较结论</t>
  </si>
  <si>
    <t>□ 应收增速 &gt; 收入增速 → 待进一步了解</t>
  </si>
  <si>
    <t>■ 应收增速 ≤ 收入增速 → 不触发</t>
  </si>
  <si>
    <t>简要备注</t>
  </si>
  <si>
    <t>两者均为负增长，应收降幅大于收入降幅，回款改善</t>
  </si>
  <si>
    <t>2023年营业收入（元）</t>
  </si>
  <si>
    <t>2023年末应收账款（元）</t>
  </si>
  <si>
    <t>应收降幅略大，但差异不大，暂不异常</t>
  </si>
  <si>
    <t>2022年营业收入（元）</t>
  </si>
  <si>
    <t>2022年末应收账款（元）</t>
  </si>
  <si>
    <t>■ 应收增速 &gt; 收入增速 → 待进一步了解</t>
  </si>
  <si>
    <t>□ 应收增速 ≤ 收入增速 → 不触发</t>
  </si>
  <si>
    <t>应收降幅远小于收入降幅，形成剪刀差，需关注信用政策及回款</t>
  </si>
  <si>
    <t>对比年度</t>
  </si>
  <si>
    <t>是否触发</t>
  </si>
  <si>
    <t>趋势说明</t>
  </si>
  <si>
    <t>2025 vs 2024</t>
  </si>
  <si>
    <t>■否</t>
  </si>
  <si>
    <t>两者均降，应收改善</t>
  </si>
  <si>
    <t>2024 vs 2023</t>
  </si>
  <si>
    <t>降幅接近，平稳</t>
  </si>
  <si>
    <t>2023 vs 2022</t>
  </si>
  <si>
    <t>■是</t>
  </si>
  <si>
    <t>应收降幅明显小于收入，风险信号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</si>
</sst>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rgb="FF0F1115"/>
      <name val="宋体"/>
      <charset val="134"/>
    </font>
    <font>
      <sz val="11"/>
      <color rgb="FF0F1115"/>
      <name val="宋体"/>
      <charset val="134"/>
    </font>
    <font>
      <sz val="11"/>
      <color theme="1"/>
      <name val="宋体"/>
      <charset val="134"/>
    </font>
    <font>
      <sz val="11"/>
      <color rgb="FF0F1115"/>
      <name val="Segoe UI"/>
      <charset val="134"/>
    </font>
    <font>
      <sz val="1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2" fillId="2" borderId="0" xfId="0" applyNumberFormat="1" applyFont="1" applyFill="1" applyAlignment="1">
      <alignment vertical="center" wrapText="1"/>
    </xf>
    <xf numFmtId="0" fontId="0" fillId="0" borderId="0" xfId="0" applyFont="1"/>
    <xf numFmtId="0" fontId="3" fillId="0" borderId="0" xfId="0" applyFont="1"/>
    <xf numFmtId="176" fontId="3" fillId="0" borderId="0" xfId="0" applyNumberFormat="1" applyFont="1"/>
    <xf numFmtId="10" fontId="3" fillId="0" borderId="0" xfId="0" applyNumberFormat="1" applyFont="1"/>
    <xf numFmtId="10" fontId="4" fillId="0" borderId="0" xfId="0" applyNumberFormat="1" applyFont="1"/>
    <xf numFmtId="0" fontId="4" fillId="0" borderId="0" xfId="0" applyFont="1"/>
    <xf numFmtId="0" fontId="0" fillId="3" borderId="0" xfId="0" applyFill="1" applyAlignment="1">
      <alignment horizontal="center"/>
    </xf>
    <xf numFmtId="0" fontId="5" fillId="0" borderId="0" xfId="0" applyFont="1"/>
    <xf numFmtId="176" fontId="2" fillId="2" borderId="0" xfId="0" applyNumberFormat="1" applyFont="1" applyFill="1" applyAlignment="1">
      <alignment vertical="center" wrapText="1"/>
    </xf>
    <xf numFmtId="0" fontId="6" fillId="4" borderId="0" xfId="0" applyFont="1" applyFill="1" applyAlignment="1">
      <alignment horizontal="center"/>
    </xf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29" sqref="B29"/>
    </sheetView>
  </sheetViews>
  <sheetFormatPr defaultColWidth="9" defaultRowHeight="13.5" outlineLevelCol="6"/>
  <cols>
    <col min="1" max="1" width="26.5044247787611" customWidth="1"/>
    <col min="2" max="2" width="16.8672566371681" customWidth="1"/>
    <col min="6" max="6" width="10.7610619469027" customWidth="1"/>
  </cols>
  <sheetData>
    <row r="1" spans="1:7">
      <c r="A1" s="1" t="s">
        <v>0</v>
      </c>
      <c r="B1" s="1" t="s">
        <v>1</v>
      </c>
      <c r="C1" s="1" t="s">
        <v>2</v>
      </c>
    </row>
    <row r="2" ht="15.75" spans="1:7">
      <c r="A2" t="s">
        <v>3</v>
      </c>
      <c r="B2" s="11">
        <v>337238620.57</v>
      </c>
      <c r="C2" t="s">
        <v>4</v>
      </c>
    </row>
    <row r="3" spans="1:7">
      <c r="A3" t="s">
        <v>5</v>
      </c>
      <c r="B3" s="5">
        <v>446351660.77</v>
      </c>
      <c r="C3" t="s">
        <v>4</v>
      </c>
    </row>
    <row r="4" spans="1:7">
      <c r="A4" t="s">
        <v>6</v>
      </c>
      <c r="B4" s="6">
        <f>(B2-B3)/B3*100%</f>
        <v>-0.244455324780845</v>
      </c>
      <c r="C4" t="s">
        <v>7</v>
      </c>
    </row>
    <row r="5" spans="1:7">
      <c r="A5" t="s">
        <v>8</v>
      </c>
      <c r="B5" s="5">
        <v>176388063.66</v>
      </c>
      <c r="C5" t="s">
        <v>4</v>
      </c>
    </row>
    <row r="6" spans="1:7">
      <c r="A6" t="s">
        <v>9</v>
      </c>
      <c r="B6" s="5">
        <v>282866689.51</v>
      </c>
      <c r="C6" t="s">
        <v>4</v>
      </c>
    </row>
    <row r="7" spans="1:7">
      <c r="A7" t="s">
        <v>10</v>
      </c>
      <c r="B7" s="7">
        <f>(B5-B6)/B6*100%</f>
        <v>-0.376426881632649</v>
      </c>
      <c r="C7" t="s">
        <v>7</v>
      </c>
    </row>
    <row r="8" spans="1:7">
      <c r="A8" t="s">
        <v>11</v>
      </c>
      <c r="B8" t="s">
        <v>4</v>
      </c>
      <c r="C8" s="12" t="s">
        <v>12</v>
      </c>
      <c r="D8" s="12"/>
      <c r="E8" s="12"/>
      <c r="F8" s="12"/>
    </row>
    <row r="9" ht="15" spans="1:7">
      <c r="A9" t="s">
        <v>11</v>
      </c>
      <c r="B9" t="s">
        <v>4</v>
      </c>
      <c r="C9" s="9" t="s">
        <v>13</v>
      </c>
      <c r="D9" s="9"/>
      <c r="E9" s="9"/>
      <c r="F9" s="9"/>
      <c r="G9" s="13"/>
    </row>
    <row r="10" ht="16.5" spans="1:7">
      <c r="A10" t="s">
        <v>14</v>
      </c>
      <c r="B10" t="s">
        <v>4</v>
      </c>
      <c r="C10" s="10" t="s">
        <v>15</v>
      </c>
    </row>
  </sheetData>
  <mergeCells count="2">
    <mergeCell ref="C8:F8"/>
    <mergeCell ref="C9:F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E13" sqref="E13"/>
    </sheetView>
  </sheetViews>
  <sheetFormatPr defaultColWidth="9" defaultRowHeight="13.5" outlineLevelCol="5"/>
  <cols>
    <col min="1" max="1" width="24.3716814159292" customWidth="1"/>
    <col min="2" max="2" width="15.1238938053097" customWidth="1"/>
    <col min="6" max="6" width="12.353982300885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>
      <c r="A2" t="s">
        <v>5</v>
      </c>
      <c r="B2" s="5">
        <v>446351660.77</v>
      </c>
      <c r="C2" t="s">
        <v>4</v>
      </c>
    </row>
    <row r="3" spans="1:6">
      <c r="A3" t="s">
        <v>16</v>
      </c>
      <c r="B3" s="5">
        <v>506925296.14</v>
      </c>
      <c r="C3" t="s">
        <v>4</v>
      </c>
    </row>
    <row r="4" spans="1:6">
      <c r="A4" t="s">
        <v>6</v>
      </c>
      <c r="B4" s="6">
        <f>(B2-B3)/B3*100%</f>
        <v>-0.119492232546373</v>
      </c>
      <c r="C4" t="s">
        <v>7</v>
      </c>
    </row>
    <row r="5" spans="1:6">
      <c r="A5" t="s">
        <v>9</v>
      </c>
      <c r="B5" s="5">
        <v>282866689.51</v>
      </c>
      <c r="C5" t="s">
        <v>4</v>
      </c>
    </row>
    <row r="6" spans="1:6">
      <c r="A6" t="s">
        <v>17</v>
      </c>
      <c r="B6" s="5">
        <v>329742664.91</v>
      </c>
      <c r="C6" t="s">
        <v>4</v>
      </c>
    </row>
    <row r="7" spans="1:6">
      <c r="A7" t="s">
        <v>10</v>
      </c>
      <c r="B7" s="7">
        <f>(B5-B6)/B6*100%</f>
        <v>-0.142159266568657</v>
      </c>
      <c r="C7" t="s">
        <v>7</v>
      </c>
    </row>
    <row r="8" spans="1:6">
      <c r="A8" t="s">
        <v>11</v>
      </c>
      <c r="B8" t="s">
        <v>4</v>
      </c>
      <c r="C8" t="s">
        <v>12</v>
      </c>
    </row>
    <row r="9" spans="1:6">
      <c r="A9" t="s">
        <v>11</v>
      </c>
      <c r="B9" t="s">
        <v>4</v>
      </c>
      <c r="C9" s="9" t="s">
        <v>13</v>
      </c>
      <c r="D9" s="9"/>
      <c r="E9" s="9"/>
      <c r="F9" s="9"/>
    </row>
    <row r="10" ht="16.5" spans="1:6">
      <c r="A10" t="s">
        <v>14</v>
      </c>
      <c r="B10" t="s">
        <v>4</v>
      </c>
      <c r="C10" s="10" t="s">
        <v>18</v>
      </c>
    </row>
  </sheetData>
  <mergeCells count="1">
    <mergeCell ref="C9:F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C27" sqref="C27"/>
    </sheetView>
  </sheetViews>
  <sheetFormatPr defaultColWidth="9" defaultRowHeight="13.5" outlineLevelCol="5"/>
  <cols>
    <col min="1" max="1" width="24.3716814159292" customWidth="1"/>
    <col min="2" max="2" width="15" customWidth="1"/>
    <col min="6" max="6" width="13.4159292035398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>
      <c r="A2" t="s">
        <v>16</v>
      </c>
      <c r="B2" s="5">
        <v>506925296.14</v>
      </c>
      <c r="C2" t="s">
        <v>4</v>
      </c>
    </row>
    <row r="3" spans="1:6">
      <c r="A3" t="s">
        <v>19</v>
      </c>
      <c r="B3" s="5">
        <v>1050779931.05</v>
      </c>
      <c r="C3" t="s">
        <v>4</v>
      </c>
    </row>
    <row r="4" spans="1:6">
      <c r="A4" t="s">
        <v>6</v>
      </c>
      <c r="B4" s="6">
        <f>(B2-B3)/B3*100%</f>
        <v>-0.517572346824848</v>
      </c>
      <c r="C4" t="s">
        <v>7</v>
      </c>
    </row>
    <row r="5" spans="1:6">
      <c r="A5" t="s">
        <v>17</v>
      </c>
      <c r="B5" s="5">
        <v>329742664.91</v>
      </c>
      <c r="C5" t="s">
        <v>4</v>
      </c>
    </row>
    <row r="6" spans="1:6">
      <c r="A6" t="s">
        <v>20</v>
      </c>
      <c r="B6" s="5">
        <v>439176425.31</v>
      </c>
      <c r="C6" t="s">
        <v>4</v>
      </c>
    </row>
    <row r="7" spans="1:6">
      <c r="A7" t="s">
        <v>10</v>
      </c>
      <c r="B7" s="7">
        <f>(B5-B6)/B6*100%</f>
        <v>-0.249179496196214</v>
      </c>
      <c r="C7" t="s">
        <v>7</v>
      </c>
    </row>
    <row r="8" spans="1:6">
      <c r="A8" t="s">
        <v>11</v>
      </c>
      <c r="B8" s="8" t="s">
        <v>4</v>
      </c>
      <c r="C8" s="9" t="s">
        <v>21</v>
      </c>
      <c r="D8" s="9"/>
      <c r="E8" s="9"/>
      <c r="F8" s="9"/>
    </row>
    <row r="9" spans="1:6">
      <c r="A9" t="s">
        <v>11</v>
      </c>
      <c r="B9" t="s">
        <v>4</v>
      </c>
      <c r="C9" t="s">
        <v>22</v>
      </c>
    </row>
    <row r="10" ht="16.5" spans="1:6">
      <c r="A10" t="s">
        <v>14</v>
      </c>
      <c r="B10" t="s">
        <v>4</v>
      </c>
      <c r="C10" s="10" t="s">
        <v>23</v>
      </c>
    </row>
  </sheetData>
  <mergeCells count="1">
    <mergeCell ref="C8:F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G14" sqref="G14"/>
    </sheetView>
  </sheetViews>
  <sheetFormatPr defaultColWidth="9" defaultRowHeight="13.5" outlineLevelRow="3" outlineLevelCol="4"/>
  <cols>
    <col min="1" max="1" width="13.8761061946903" customWidth="1"/>
    <col min="2" max="2" width="14.5486725663717" customWidth="1"/>
    <col min="3" max="3" width="13.5398230088496" customWidth="1"/>
    <col min="4" max="4" width="17" customWidth="1"/>
  </cols>
  <sheetData>
    <row r="1" spans="1:5">
      <c r="A1" s="1" t="s">
        <v>24</v>
      </c>
      <c r="B1" s="1" t="s">
        <v>6</v>
      </c>
      <c r="C1" s="1" t="s">
        <v>10</v>
      </c>
      <c r="D1" s="1" t="s">
        <v>25</v>
      </c>
      <c r="E1" s="1" t="s">
        <v>26</v>
      </c>
    </row>
    <row r="2" ht="15.75" spans="1:5">
      <c r="A2" t="s">
        <v>27</v>
      </c>
      <c r="B2" s="2">
        <v>-0.2445</v>
      </c>
      <c r="C2" s="2">
        <v>-0.3764</v>
      </c>
      <c r="D2" s="3" t="s">
        <v>28</v>
      </c>
      <c r="E2" s="4" t="s">
        <v>29</v>
      </c>
    </row>
    <row r="3" ht="15.75" spans="1:5">
      <c r="A3" t="s">
        <v>30</v>
      </c>
      <c r="B3" s="2">
        <v>-0.1195</v>
      </c>
      <c r="C3" s="2">
        <v>-0.1422</v>
      </c>
      <c r="D3" s="3" t="s">
        <v>28</v>
      </c>
      <c r="E3" s="4" t="s">
        <v>31</v>
      </c>
    </row>
    <row r="4" ht="15.75" spans="1:5">
      <c r="A4" t="s">
        <v>32</v>
      </c>
      <c r="B4" s="2">
        <v>-0.5176</v>
      </c>
      <c r="C4" s="2">
        <v>-0.2492</v>
      </c>
      <c r="D4" s="3" t="s">
        <v>33</v>
      </c>
      <c r="E4" s="4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2025vs2024</vt:lpstr>
      <vt:lpstr>2024vs2023</vt:lpstr>
      <vt:lpstr>2023vs2022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神经蛙</cp:lastModifiedBy>
  <dcterms:created xsi:type="dcterms:W3CDTF">2026-07-21T05:00:00Z</dcterms:created>
  <dcterms:modified xsi:type="dcterms:W3CDTF">2026-07-21T13:51:55Z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C52B6925BCED4979BBDB65BF962284B0_12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