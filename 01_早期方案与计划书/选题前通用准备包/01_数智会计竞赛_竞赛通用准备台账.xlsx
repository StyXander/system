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1056ff7ad48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e64dc0b44374dd8"/>
    <x:sheet xmlns:r="http://schemas.openxmlformats.org/officeDocument/2006/relationships" name="选题评分" sheetId="2" r:id="Rea24a798d32347a7"/>
    <x:sheet xmlns:r="http://schemas.openxmlformats.org/officeDocument/2006/relationships" name="选题说明" sheetId="3" r:id="R16a42e51ff8a4dfa"/>
    <x:sheet xmlns:r="http://schemas.openxmlformats.org/officeDocument/2006/relationships" name="五维证据" sheetId="4" r:id="R00be58bba5d74b16"/>
    <x:sheet xmlns:r="http://schemas.openxmlformats.org/officeDocument/2006/relationships" name="资料来源台账" sheetId="5" r:id="R666b72c84350460c"/>
    <x:sheet xmlns:r="http://schemas.openxmlformats.org/officeDocument/2006/relationships" name="案例与测试" sheetId="6" r:id="R67764c480ac54768"/>
    <x:sheet xmlns:r="http://schemas.openxmlformats.org/officeDocument/2006/relationships" name="Vibe开发记录" sheetId="7" r:id="R2dab2f65574744c9"/>
    <x:sheet xmlns:r="http://schemas.openxmlformats.org/officeDocument/2006/relationships" name="周任务" sheetId="8" r:id="R80fefbfd81de4c65"/>
    <x:sheet xmlns:r="http://schemas.openxmlformats.org/officeDocument/2006/relationships" name="待确认问题" sheetId="9" r:id="R8cbcc2e9a1ab47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0.0"/>
    <x:numFmt numFmtId="203" formatCode="yyyy-mm-dd hh:mm"/>
  </x:numFmts>
  <x:fonts count="7">
    <x:font>
      <x:sz val="11"/>
      <x:name val="Carlito"/>
    </x:font>
    <x:font>
      <x:b/>
      <x:sz val="18"/>
      <x:color rgb="FFFFFFFF"/>
      <x:name val="Microsoft YaHei"/>
    </x:font>
    <x:font>
      <x:sz val="10"/>
      <x:color rgb="FF1F4E78"/>
      <x:name val="Microsoft YaHei"/>
    </x:font>
    <x:font>
      <x:b/>
      <x:sz val="10"/>
      <x:color rgb="FFFFFFFF"/>
      <x:name val="Microsoft YaHei"/>
    </x:font>
    <x:font>
      <x:sz val="9"/>
      <x:color rgb="FF1F2937"/>
      <x:name val="Microsoft YaHei"/>
    </x:font>
    <x:font>
      <x:b/>
      <x:sz val="11"/>
      <x:color rgb="FFFFFFFF"/>
      <x:name val="Microsoft YaHei"/>
    </x:font>
    <x:font>
      <x:b/>
      <x:sz val="9"/>
      <x:color rgb="FF9C0006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horizontal="left" wrapText="1"/>
    </x:xf>
    <x:xf numFmtId="0" fontId="4" fillId="0" borderId="3" xfId="0" applyNumberFormat="1" applyFont="1" applyFill="1" applyBorder="1" applyAlignment="1">
      <x:alignment horizontal="left" wrapText="1"/>
    </x:xf>
    <x:xf numFmtId="0" fontId="4" fillId="0" borderId="2" xfId="0" applyNumberFormat="1" applyFont="1" applyFill="1" applyBorder="1" applyAlignment="1">
      <x:alignment horizontal="left" vertical="center" wrapText="1"/>
    </x:xf>
    <x:xf numFmtId="0" fontId="4" fillId="0" borderId="3" xfId="0" applyNumberFormat="1" applyFont="1" applyFill="1" applyBorder="1" applyAlignment="1">
      <x:alignment horizontal="left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4" fillId="6" borderId="3" xfId="0" applyNumberFormat="1" applyFont="1" applyFill="1" applyBorder="1" applyAlignment="1">
      <x:alignment horizontal="left" vertical="center" wrapText="1"/>
    </x:xf>
    <x:xf numFmtId="0" fontId="4" fillId="7" borderId="3" xfId="0" applyNumberFormat="1" applyFont="1" applyFill="1" applyBorder="1" applyAlignment="1">
      <x:alignment horizontal="left" vertical="center" wrapText="1"/>
    </x:xf>
    <x:xf numFmtId="0" fontId="4" fillId="8" borderId="3" xfId="0" applyNumberFormat="1" applyFont="1" applyFill="1" applyBorder="1" applyAlignment="1">
      <x:alignment horizontal="left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left" vertical="center" wrapText="1"/>
    </x:xf>
    <x:xf numFmtId="200" fontId="4" fillId="0" borderId="2" xfId="0" applyNumberFormat="1" applyFont="1" applyFill="1" applyBorder="1" applyAlignment="1">
      <x:alignment horizontal="left" vertical="center" wrapText="1"/>
    </x:xf>
    <x:xf numFmtId="200" fontId="4" fillId="0" borderId="3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2" xfId="0" applyNumberFormat="1" applyFont="1" applyFill="1" applyBorder="1"/>
    <x:xf numFmtId="0" fontId="4" fillId="8" borderId="3" xfId="0" applyNumberFormat="1" applyFont="1" applyFill="1" applyBorder="1"/>
    <x:xf numFmtId="0" fontId="4" fillId="8" borderId="2" xfId="0" applyNumberFormat="1" applyFont="1" applyFill="1" applyBorder="1" applyAlignment="1">
      <x:alignment wrapText="1"/>
    </x:xf>
    <x:xf numFmtId="0" fontId="4" fillId="8" borderId="3" xfId="0" applyNumberFormat="1" applyFont="1" applyFill="1" applyBorder="1" applyAlignment="1">
      <x:alignment wrapText="1"/>
    </x:xf>
    <x:xf numFmtId="0" fontId="4" fillId="8" borderId="2" xfId="0" applyNumberFormat="1" applyFont="1" applyFill="1" applyBorder="1" applyAlignment="1">
      <x:alignment horizontal="left" wrapText="1"/>
    </x:xf>
    <x:xf numFmtId="0" fontId="4" fillId="8" borderId="3" xfId="0" applyNumberFormat="1" applyFont="1" applyFill="1" applyBorder="1" applyAlignment="1">
      <x:alignment horizontal="left" wrapText="1"/>
    </x:xf>
    <x:xf numFmtId="0" fontId="4" fillId="8" borderId="2" xfId="0" applyNumberFormat="1" applyFont="1" applyFill="1" applyBorder="1" applyAlignment="1">
      <x:alignment horizontal="left" vertical="center" wrapText="1"/>
    </x:xf>
    <x:xf numFmtId="200" fontId="4" fillId="8" borderId="2" xfId="0" applyNumberFormat="1" applyFont="1" applyFill="1" applyBorder="1" applyAlignment="1">
      <x:alignment horizontal="left" vertical="center" wrapText="1"/>
    </x:xf>
    <x:xf numFmtId="200" fontId="4" fillId="8" borderId="3" xfId="0" applyNumberFormat="1" applyFont="1" applyFill="1" applyBorder="1" applyAlignment="1">
      <x:alignment horizontal="left" vertical="center" wrapText="1"/>
    </x:xf>
    <x:xf numFmtId="201" fontId="4" fillId="8" borderId="2" xfId="0" applyNumberFormat="1" applyFont="1" applyFill="1" applyBorder="1" applyAlignment="1">
      <x:alignment horizontal="left" vertical="center" wrapText="1"/>
    </x:xf>
    <x:xf numFmtId="201" fontId="4" fillId="8" borderId="3" xfId="0" applyNumberFormat="1" applyFont="1" applyFill="1" applyBorder="1" applyAlignment="1">
      <x:alignment horizontal="left" vertical="center" wrapText="1"/>
    </x:xf>
    <x:xf numFmtId="202" fontId="4" fillId="8" borderId="2" xfId="0" applyNumberFormat="1" applyFont="1" applyFill="1" applyBorder="1" applyAlignment="1">
      <x:alignment horizontal="left" vertical="center" wrapText="1"/>
    </x:xf>
    <x:xf numFmtId="202" fontId="4" fillId="8" borderId="3" xfId="0" applyNumberFormat="1" applyFont="1" applyFill="1" applyBorder="1" applyAlignment="1">
      <x:alignment horizontal="left" vertical="center" wrapText="1"/>
    </x:xf>
    <x:xf numFmtId="203" fontId="4" fillId="0" borderId="2" xfId="0" applyNumberFormat="1" applyFont="1" applyFill="1" applyBorder="1" applyAlignment="1">
      <x:alignment horizontal="left" vertical="center" wrapText="1"/>
    </x:xf>
    <x:xf numFmtId="203" fontId="4" fillId="0" borderId="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2">
    <x:dxf>
      <x:font>
        <x:b/>
        <x:color rgb="FF2E5E2B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E5E2B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2E5E2B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2E5E2B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2E5E2B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2E5E2B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2E5E2B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cdf4966254287" /><Relationship Type="http://schemas.openxmlformats.org/officeDocument/2006/relationships/theme" Target="/xl/theme/theme1.xml" Id="R083a60a853da4e86" /><Relationship Type="http://schemas.openxmlformats.org/officeDocument/2006/relationships/sharedStrings" Target="/xl/sharedStrings.xml" Id="R3ec20c11a22048d4" /><Relationship Type="http://schemas.openxmlformats.org/officeDocument/2006/relationships/worksheet" Target="/xl/worksheets/sheet1.xml" Id="R7e64dc0b44374dd8" /><Relationship Type="http://schemas.openxmlformats.org/officeDocument/2006/relationships/worksheet" Target="/xl/worksheets/sheet2.xml" Id="Rea24a798d32347a7" /><Relationship Type="http://schemas.openxmlformats.org/officeDocument/2006/relationships/worksheet" Target="/xl/worksheets/sheet3.xml" Id="R16a42e51ff8a4dfa" /><Relationship Type="http://schemas.openxmlformats.org/officeDocument/2006/relationships/worksheet" Target="/xl/worksheets/sheet4.xml" Id="R00be58bba5d74b16" /><Relationship Type="http://schemas.openxmlformats.org/officeDocument/2006/relationships/worksheet" Target="/xl/worksheets/sheet5.xml" Id="R666b72c84350460c" /><Relationship Type="http://schemas.openxmlformats.org/officeDocument/2006/relationships/worksheet" Target="/xl/worksheets/sheet6.xml" Id="R67764c480ac54768" /><Relationship Type="http://schemas.openxmlformats.org/officeDocument/2006/relationships/worksheet" Target="/xl/worksheets/sheet7.xml" Id="R2dab2f65574744c9" /><Relationship Type="http://schemas.openxmlformats.org/officeDocument/2006/relationships/worksheet" Target="/xl/worksheets/sheet8.xml" Id="R80fefbfd81de4c65" /><Relationship Type="http://schemas.openxmlformats.org/officeDocument/2006/relationships/worksheet" Target="/xl/worksheets/sheet9.xml" Id="R8cbcc2e9a1ab47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12" hidden="0" customWidth="1"/>
    <x:col min="4" max="4" width="18" hidden="0" customWidth="1"/>
    <x:col min="5" max="5" width="28" hidden="0" customWidth="1"/>
    <x:col min="6" max="6" width="13" hidden="0" customWidth="1"/>
    <x:col min="7" max="7" width="13" hidden="0" customWidth="1"/>
    <x:col min="8" max="8" width="28" hidden="0" customWidth="1"/>
  </x:cols>
  <x:sheetData>
    <x:row r="1" ht="34" customHeight="1">
      <x:c r="A1" s="3" t="str">
        <x:v>数智会计竞赛｜选题前通用准备台账</x:v>
      </x:c>
      <x:c r="B1" s="3" t="str">
        <x:v>数智会计竞赛｜选题前通用准备台账</x:v>
      </x:c>
      <x:c r="C1" s="3" t="str">
        <x:v>数智会计竞赛｜选题前通用准备台账</x:v>
      </x:c>
      <x:c r="D1" s="3" t="str">
        <x:v>数智会计竞赛｜选题前通用准备台账</x:v>
      </x:c>
      <x:c r="E1" s="3" t="str">
        <x:v>数智会计竞赛｜选题前通用准备台账</x:v>
      </x:c>
      <x:c r="F1" s="3" t="str">
        <x:v>数智会计竞赛｜选题前通用准备台账</x:v>
      </x:c>
      <x:c r="G1" s="3" t="str">
        <x:v>数智会计竞赛｜选题前通用准备台账</x:v>
      </x:c>
      <x:c r="H1" s="3" t="str">
        <x:v>数智会计竞赛｜选题前通用准备台账</x:v>
      </x:c>
    </x:row>
    <x:row r="2" ht="30" customHeight="1">
      <x:c r="A2" s="7" t="str">
        <x:v>所有工作表均不绑定具体选题；先搭好比较、资料、评测、开发记录和团队协作底座。黄色为待填写，绿色为已完成，红色为阻塞。</x:v>
      </x:c>
      <x:c r="B2" s="7" t="str">
        <x:v>所有工作表均不绑定具体选题；先搭好比较、资料、评测、开发记录和团队协作底座。黄色为待填写，绿色为已完成，红色为阻塞。</x:v>
      </x:c>
      <x:c r="C2" s="7" t="str">
        <x:v>所有工作表均不绑定具体选题；先搭好比较、资料、评测、开发记录和团队协作底座。黄色为待填写，绿色为已完成，红色为阻塞。</x:v>
      </x:c>
      <x:c r="D2" s="7" t="str">
        <x:v>所有工作表均不绑定具体选题；先搭好比较、资料、评测、开发记录和团队协作底座。黄色为待填写，绿色为已完成，红色为阻塞。</x:v>
      </x:c>
      <x:c r="E2" s="7" t="str">
        <x:v>所有工作表均不绑定具体选题；先搭好比较、资料、评测、开发记录和团队协作底座。黄色为待填写，绿色为已完成，红色为阻塞。</x:v>
      </x:c>
      <x:c r="F2" s="7" t="str">
        <x:v>所有工作表均不绑定具体选题；先搭好比较、资料、评测、开发记录和团队协作底座。黄色为待填写，绿色为已完成，红色为阻塞。</x:v>
      </x:c>
      <x:c r="G2" s="7" t="str">
        <x:v>所有工作表均不绑定具体选题；先搭好比较、资料、评测、开发记录和团队协作底座。黄色为待填写，绿色为已完成，红色为阻塞。</x:v>
      </x:c>
      <x:c r="H2" s="7" t="str">
        <x:v>所有工作表均不绑定具体选题；先搭好比较、资料、评测、开发记录和团队协作底座。黄色为待填写，绿色为已完成，红色为阻塞。</x:v>
      </x:c>
    </x:row>
    <x:row r="4" ht="31" customHeight="1">
      <x:c r="A4" s="13" t="str">
        <x:v>工作表</x:v>
      </x:c>
      <x:c r="B4" s="13" t="str">
        <x:v>用途</x:v>
      </x:c>
      <x:c r="C4" s="13" t="str">
        <x:v>谁维护</x:v>
      </x:c>
      <x:c r="D4" s="13" t="str">
        <x:v>何时更新</x:v>
      </x:c>
      <x:c r="E4" s="13" t="str">
        <x:v>最低完成标准</x:v>
      </x:c>
      <x:c r="F4" s="13" t="str">
        <x:v>选题前可做</x:v>
      </x:c>
      <x:c r="G4" s="13" t="str">
        <x:v>选题后继续用</x:v>
      </x:c>
      <x:c r="H4" s="13" t="str">
        <x:v>注意事项</x:v>
      </x:c>
    </x:row>
    <x:row r="5">
      <x:c r="A5" s="21" t="str">
        <x:v>选题评分</x:v>
      </x:c>
      <x:c r="B5" s="21" t="str">
        <x:v>用统一分数和一票否决条件比较候选题</x:v>
      </x:c>
      <x:c r="C5" s="21" t="str">
        <x:v>队长</x:v>
      </x:c>
      <x:c r="D5" s="21" t="str">
        <x:v>每日</x:v>
      </x:c>
      <x:c r="E5" s="21" t="str">
        <x:v>8—12个题目，前三名有证据</x:v>
      </x:c>
      <x:c r="F5" s="23" t="str">
        <x:v>是</x:v>
      </x:c>
      <x:c r="G5" s="23" t="str">
        <x:v>是</x:v>
      </x:c>
      <x:c r="H5" s="21" t="str">
        <x:v>分数不能替代数据与老师意见</x:v>
      </x:c>
    </x:row>
    <x:row r="6">
      <x:c r="A6" s="22" t="str">
        <x:v>选题说明</x:v>
      </x:c>
      <x:c r="B6" s="22" t="str">
        <x:v>写清用户、输入、输出、演示、创新、评测和MVP</x:v>
      </x:c>
      <x:c r="C6" s="22" t="str">
        <x:v>四人</x:v>
      </x:c>
      <x:c r="D6" s="22" t="str">
        <x:v>提出／修改题目时</x:v>
      </x:c>
      <x:c r="E6" s="22" t="str">
        <x:v>每个保留题目填满一行</x:v>
      </x:c>
      <x:c r="F6" s="24" t="str">
        <x:v>是</x:v>
      </x:c>
      <x:c r="G6" s="24" t="str">
        <x:v>冻结后保留最终一行</x:v>
      </x:c>
      <x:c r="H6" s="22" t="str">
        <x:v>不写泛泛口号</x:v>
      </x:c>
    </x:row>
    <x:row r="7">
      <x:c r="A7" s="22" t="str">
        <x:v>五维证据</x:v>
      </x:c>
      <x:c r="B7" s="22" t="str">
        <x:v>按专业、技术、落地、评估、展示积累证明</x:v>
      </x:c>
      <x:c r="C7" s="22" t="str">
        <x:v>全员</x:v>
      </x:c>
      <x:c r="D7" s="22" t="str">
        <x:v>每周</x:v>
      </x:c>
      <x:c r="E7" s="22" t="str">
        <x:v>五方面均有负责人和证据位置</x:v>
      </x:c>
      <x:c r="F7" s="24" t="str">
        <x:v>是</x:v>
      </x:c>
      <x:c r="G7" s="24" t="str">
        <x:v>是</x:v>
      </x:c>
      <x:c r="H7" s="22" t="str">
        <x:v>不要只有技术进度</x:v>
      </x:c>
    </x:row>
    <x:row r="8">
      <x:c r="A8" s="22" t="str">
        <x:v>资料来源台账</x:v>
      </x:c>
      <x:c r="B8" s="22" t="str">
        <x:v>记录PDF、网页、规则和数据来源</x:v>
      </x:c>
      <x:c r="C8" s="22" t="str">
        <x:v>A／B</x:v>
      </x:c>
      <x:c r="D8" s="22" t="str">
        <x:v>找到资料即登记</x:v>
      </x:c>
      <x:c r="E8" s="22" t="str">
        <x:v>链接、日期、文件、页码、用途齐全</x:v>
      </x:c>
      <x:c r="F8" s="24" t="str">
        <x:v>是</x:v>
      </x:c>
      <x:c r="G8" s="24" t="str">
        <x:v>是</x:v>
      </x:c>
      <x:c r="H8" s="22" t="str">
        <x:v>不得只发微信群</x:v>
      </x:c>
    </x:row>
    <x:row r="9">
      <x:c r="A9" s="22" t="str">
        <x:v>案例与测试</x:v>
      </x:c>
      <x:c r="B9" s="22" t="str">
        <x:v>先写参考答案，再记录系统测试和对比</x:v>
      </x:c>
      <x:c r="C9" s="22" t="str">
        <x:v>B主责</x:v>
      </x:c>
      <x:c r="D9" s="22" t="str">
        <x:v>每次测试</x:v>
      </x:c>
      <x:c r="E9" s="22" t="str">
        <x:v>输入、预期、实际、错误和复测齐全</x:v>
      </x:c>
      <x:c r="F9" s="24" t="str">
        <x:v>模板可做</x:v>
      </x:c>
      <x:c r="G9" s="24" t="str">
        <x:v>是</x:v>
      </x:c>
      <x:c r="H9" s="22" t="str">
        <x:v>没有参考答案不能评分</x:v>
      </x:c>
    </x:row>
    <x:row r="10">
      <x:c r="A10" s="22" t="str">
        <x:v>Vibe开发记录</x:v>
      </x:c>
      <x:c r="B10" s="22" t="str">
        <x:v>保留Trae、Coze和人工检查证据</x:v>
      </x:c>
      <x:c r="C10" s="22" t="str">
        <x:v>队长</x:v>
      </x:c>
      <x:c r="D10" s="22" t="str">
        <x:v>每次重要修改</x:v>
      </x:c>
      <x:c r="E10" s="22" t="str">
        <x:v>提示词、版本、运行、人工检查可追溯</x:v>
      </x:c>
      <x:c r="F10" s="24" t="str">
        <x:v>规则可做</x:v>
      </x:c>
      <x:c r="G10" s="24" t="str">
        <x:v>是</x:v>
      </x:c>
      <x:c r="H10" s="22" t="str">
        <x:v>工具本身不是创新</x:v>
      </x:c>
    </x:row>
    <x:row r="11">
      <x:c r="A11" s="22" t="str">
        <x:v>周任务</x:v>
      </x:c>
      <x:c r="B11" s="22" t="str">
        <x:v>明确负责人、交付、数量、验收和阻塞</x:v>
      </x:c>
      <x:c r="C11" s="22" t="str">
        <x:v>队长</x:v>
      </x:c>
      <x:c r="D11" s="22" t="str">
        <x:v>周一／周三／周日</x:v>
      </x:c>
      <x:c r="E11" s="22" t="str">
        <x:v>每项任务有状态和验收结果</x:v>
      </x:c>
      <x:c r="F11" s="24" t="str">
        <x:v>是</x:v>
      </x:c>
      <x:c r="G11" s="24" t="str">
        <x:v>是</x:v>
      </x:c>
      <x:c r="H11" s="22" t="str">
        <x:v>源文件必须进入共享文件夹</x:v>
      </x:c>
    </x:row>
    <x:row r="12">
      <x:c r="A12" s="22" t="str">
        <x:v>待确认问题</x:v>
      </x:c>
      <x:c r="B12" s="22" t="str">
        <x:v>记录需要老师／学校作决定的问题</x:v>
      </x:c>
      <x:c r="C12" s="22" t="str">
        <x:v>队长</x:v>
      </x:c>
      <x:c r="D12" s="22" t="str">
        <x:v>产生问题即登记</x:v>
      </x:c>
      <x:c r="E12" s="22" t="str">
        <x:v>有选项、影响、结论和后续动作</x:v>
      </x:c>
      <x:c r="F12" s="24" t="str">
        <x:v>是</x:v>
      </x:c>
      <x:c r="G12" s="24" t="str">
        <x:v>是</x:v>
      </x:c>
      <x:c r="H12" s="22" t="str">
        <x:v>口头意见也要形成记录</x:v>
      </x:c>
    </x:row>
    <x:row r="14">
      <x:c r="A14" s="26" t="str">
        <x:v>立即执行顺序</x:v>
      </x:c>
      <x:c r="B14" s="26" t="str">
        <x:v>立即执行顺序</x:v>
      </x:c>
      <x:c r="C14" s="26" t="str">
        <x:v>立即执行顺序</x:v>
      </x:c>
      <x:c r="D14" s="26" t="str">
        <x:v>立即执行顺序</x:v>
      </x:c>
      <x:c r="E14" s="26" t="str">
        <x:v>立即执行顺序</x:v>
      </x:c>
      <x:c r="F14" s="26" t="str">
        <x:v>立即执行顺序</x:v>
      </x:c>
      <x:c r="G14" s="26" t="str">
        <x:v>立即执行顺序</x:v>
      </x:c>
      <x:c r="H14" s="26" t="str">
        <x:v>立即执行顺序</x:v>
      </x:c>
    </x:row>
    <x:row r="15">
      <x:c r="A15" s="21" t="str">
        <x:v>1</x:v>
      </x:c>
      <x:c r="B15" s="21" t="str">
        <x:v>全员复核硬性要求</x:v>
      </x:c>
      <x:c r="C15" s="21" t="str">
        <x:v>2</x:v>
      </x:c>
      <x:c r="D15" s="21" t="str">
        <x:v>每人提出2个题目</x:v>
      </x:c>
      <x:c r="E15" s="21" t="str">
        <x:v>3</x:v>
      </x:c>
      <x:c r="F15" s="21" t="str">
        <x:v>为候选题找3份真实样例</x:v>
      </x:c>
      <x:c r="G15" s="21" t="str">
        <x:v>4</x:v>
      </x:c>
      <x:c r="H15" s="21" t="str">
        <x:v>做五项评分与一票否决</x:v>
      </x:c>
    </x:row>
    <x:row r="16">
      <x:c r="A16" s="22" t="str">
        <x:v>5</x:v>
      </x:c>
      <x:c r="B16" s="22" t="str">
        <x:v>为前三名写3分钟演示</x:v>
      </x:c>
      <x:c r="C16" s="22" t="str">
        <x:v>6</x:v>
      </x:c>
      <x:c r="D16" s="22" t="str">
        <x:v>设计人工参考和比较对象</x:v>
      </x:c>
      <x:c r="E16" s="22" t="str">
        <x:v>7</x:v>
      </x:c>
      <x:c r="F16" s="22" t="str">
        <x:v>把前三名发给老师</x:v>
      </x:c>
      <x:c r="G16" s="22" t="str">
        <x:v>8</x:v>
      </x:c>
      <x:c r="H16" s="22" t="str">
        <x:v>冻结选题后进入MVP</x:v>
      </x:c>
    </x:row>
    <x:row r="17">
      <x:c r="A17" s="27" t="str">
        <x:v>红线</x:v>
      </x:c>
      <x:c r="B17" s="27" t="str">
        <x:v>拿不到数据、没有参考答案、只能聊天、无法现场演示的题目不得进入首选。</x:v>
      </x:c>
      <x:c r="C17" s="27" t="str"/>
      <x:c r="D17" s="27" t="str"/>
      <x:c r="E17" s="27" t="str"/>
      <x:c r="F17" s="27" t="str"/>
      <x:c r="G17" s="27" t="str"/>
      <x:c r="H17" s="27" t="str"/>
    </x:row>
    <x:row r="18">
      <x:c r="A18" s="28" t="str">
        <x:v>原则</x:v>
      </x:c>
      <x:c r="B18" s="28" t="str">
        <x:v>工具不是创新；新的专业方法、防止AI乱说的机制、可客观验证的效果才是创新。</x:v>
      </x:c>
      <x:c r="C18" s="28" t="str"/>
      <x:c r="D18" s="28" t="str"/>
      <x:c r="E18" s="28" t="str"/>
      <x:c r="F18" s="28" t="str"/>
      <x:c r="G18" s="28" t="str"/>
      <x:c r="H18" s="28" t="str"/>
    </x:row>
    <x:row r="19">
      <x:c r="A19" s="29" t="str">
        <x:v>使用</x:v>
      </x:c>
      <x:c r="B19" s="29" t="str">
        <x:v>黄色单元格用于待填写；状态字段使用下拉选项；公式列不要手工覆盖。</x:v>
      </x:c>
      <x:c r="C19" s="29" t="str"/>
      <x:c r="D19" s="29" t="str"/>
      <x:c r="E19" s="29" t="str"/>
      <x:c r="F19" s="29" t="str"/>
      <x:c r="G19" s="29" t="str"/>
      <x:c r="H19" s="29" t="str"/>
    </x:row>
  </x:sheetData>
  <x:mergeCells>
    <x:mergeCell ref="A1:H1"/>
    <x:mergeCell ref="A2:H2"/>
    <x:mergeCell ref="A14:H14"/>
    <x:mergeCell ref="B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8" hidden="0" customWidth="1"/>
    <x:col min="3" max="3" width="14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1" hidden="0" customWidth="1"/>
    <x:col min="12" max="12" width="11" hidden="0" customWidth="1"/>
    <x:col min="13" max="13" width="11" hidden="0" customWidth="1"/>
    <x:col min="14" max="14" width="12" hidden="0" customWidth="1"/>
    <x:col min="15" max="15" width="12" hidden="0" customWidth="1"/>
    <x:col min="16" max="16" width="34" hidden="0" customWidth="1"/>
  </x:cols>
  <x:sheetData>
    <x:row r="1" ht="34" customHeight="1">
      <x:c r="A1" s="3" t="str">
        <x:v>候选选题评分表</x:v>
      </x:c>
      <x:c r="B1" s="3" t="str">
        <x:v>候选选题评分表</x:v>
      </x:c>
      <x:c r="C1" s="3" t="str">
        <x:v>候选选题评分表</x:v>
      </x:c>
      <x:c r="D1" s="3" t="str">
        <x:v>候选选题评分表</x:v>
      </x:c>
      <x:c r="E1" s="3" t="str">
        <x:v>候选选题评分表</x:v>
      </x:c>
      <x:c r="F1" s="3" t="str">
        <x:v>候选选题评分表</x:v>
      </x:c>
      <x:c r="G1" s="3" t="str">
        <x:v>候选选题评分表</x:v>
      </x:c>
      <x:c r="H1" s="3" t="str">
        <x:v>候选选题评分表</x:v>
      </x:c>
      <x:c r="I1" s="3" t="str">
        <x:v>候选选题评分表</x:v>
      </x:c>
      <x:c r="J1" s="3" t="str">
        <x:v>候选选题评分表</x:v>
      </x:c>
      <x:c r="K1" s="3" t="str">
        <x:v>候选选题评分表</x:v>
      </x:c>
      <x:c r="L1" s="3" t="str">
        <x:v>候选选题评分表</x:v>
      </x:c>
      <x:c r="M1" s="3" t="str">
        <x:v>候选选题评分表</x:v>
      </x:c>
      <x:c r="N1" s="3" t="str">
        <x:v>候选选题评分表</x:v>
      </x:c>
      <x:c r="O1" s="3" t="str">
        <x:v>候选选题评分表</x:v>
      </x:c>
      <x:c r="P1" s="3" t="str">
        <x:v>候选选题评分表</x:v>
      </x:c>
    </x:row>
    <x:row r="2" ht="30" customHeight="1">
      <x:c r="A2" s="7" t="str">
        <x:v>官方五方面各1—5分；数据可得性和团队匹配度作为内部过滤。若“一票否决”为“是”，决策总分自动归零。</x:v>
      </x:c>
      <x:c r="B2" s="7" t="str">
        <x:v>官方五方面各1—5分；数据可得性和团队匹配度作为内部过滤。若“一票否决”为“是”，决策总分自动归零。</x:v>
      </x:c>
      <x:c r="C2" s="7" t="str">
        <x:v>官方五方面各1—5分；数据可得性和团队匹配度作为内部过滤。若“一票否决”为“是”，决策总分自动归零。</x:v>
      </x:c>
      <x:c r="D2" s="7" t="str">
        <x:v>官方五方面各1—5分；数据可得性和团队匹配度作为内部过滤。若“一票否决”为“是”，决策总分自动归零。</x:v>
      </x:c>
      <x:c r="E2" s="7" t="str">
        <x:v>官方五方面各1—5分；数据可得性和团队匹配度作为内部过滤。若“一票否决”为“是”，决策总分自动归零。</x:v>
      </x:c>
      <x:c r="F2" s="7" t="str">
        <x:v>官方五方面各1—5分；数据可得性和团队匹配度作为内部过滤。若“一票否决”为“是”，决策总分自动归零。</x:v>
      </x:c>
      <x:c r="G2" s="7" t="str">
        <x:v>官方五方面各1—5分；数据可得性和团队匹配度作为内部过滤。若“一票否决”为“是”，决策总分自动归零。</x:v>
      </x:c>
      <x:c r="H2" s="7" t="str">
        <x:v>官方五方面各1—5分；数据可得性和团队匹配度作为内部过滤。若“一票否决”为“是”，决策总分自动归零。</x:v>
      </x:c>
      <x:c r="I2" s="7" t="str">
        <x:v>官方五方面各1—5分；数据可得性和团队匹配度作为内部过滤。若“一票否决”为“是”，决策总分自动归零。</x:v>
      </x:c>
      <x:c r="J2" s="7" t="str">
        <x:v>官方五方面各1—5分；数据可得性和团队匹配度作为内部过滤。若“一票否决”为“是”，决策总分自动归零。</x:v>
      </x:c>
      <x:c r="K2" s="7" t="str">
        <x:v>官方五方面各1—5分；数据可得性和团队匹配度作为内部过滤。若“一票否决”为“是”，决策总分自动归零。</x:v>
      </x:c>
      <x:c r="L2" s="7" t="str">
        <x:v>官方五方面各1—5分；数据可得性和团队匹配度作为内部过滤。若“一票否决”为“是”，决策总分自动归零。</x:v>
      </x:c>
      <x:c r="M2" s="7" t="str">
        <x:v>官方五方面各1—5分；数据可得性和团队匹配度作为内部过滤。若“一票否决”为“是”，决策总分自动归零。</x:v>
      </x:c>
      <x:c r="N2" s="7" t="str">
        <x:v>官方五方面各1—5分；数据可得性和团队匹配度作为内部过滤。若“一票否决”为“是”，决策总分自动归零。</x:v>
      </x:c>
      <x:c r="O2" s="7" t="str">
        <x:v>官方五方面各1—5分；数据可得性和团队匹配度作为内部过滤。若“一票否决”为“是”，决策总分自动归零。</x:v>
      </x:c>
      <x:c r="P2" s="7" t="str">
        <x:v>官方五方面各1—5分；数据可得性和团队匹配度作为内部过滤。若“一票否决”为“是”，决策总分自动归零。</x:v>
      </x:c>
    </x:row>
    <x:row r="4" ht="31" customHeight="1">
      <x:c r="A4" s="13" t="str">
        <x:v>编号</x:v>
      </x:c>
      <x:c r="B4" s="13" t="str">
        <x:v>候选题</x:v>
      </x:c>
      <x:c r="C4" s="13" t="str">
        <x:v>方向</x:v>
      </x:c>
      <x:c r="D4" s="13" t="str">
        <x:v>专业深度</x:v>
      </x:c>
      <x:c r="E4" s="13" t="str">
        <x:v>技术创新</x:v>
      </x:c>
      <x:c r="F4" s="13" t="str">
        <x:v>落地可行</x:v>
      </x:c>
      <x:c r="G4" s="13" t="str">
        <x:v>效果评估</x:v>
      </x:c>
      <x:c r="H4" s="13" t="str">
        <x:v>文档展示</x:v>
      </x:c>
      <x:c r="I4" s="13" t="str">
        <x:v>数据可得</x:v>
      </x:c>
      <x:c r="J4" s="13" t="str">
        <x:v>团队匹配</x:v>
      </x:c>
      <x:c r="K4" s="13" t="str">
        <x:v>五项总分</x:v>
      </x:c>
      <x:c r="L4" s="13" t="str">
        <x:v>决策总分</x:v>
      </x:c>
      <x:c r="M4" s="13" t="str">
        <x:v>一票否决</x:v>
      </x:c>
      <x:c r="N4" s="13" t="str">
        <x:v>当前状态</x:v>
      </x:c>
      <x:c r="O4" s="13" t="str">
        <x:v>负责人</x:v>
      </x:c>
      <x:c r="P4" s="13" t="str">
        <x:v>老师意见／备注</x:v>
      </x:c>
    </x:row>
    <x:row r="5">
      <x:c r="A5" s="23" t="n">
        <x:v>1</x:v>
      </x:c>
      <x:c r="B5" s="21" t="str">
        <x:v>合同收入确认证据链</x:v>
      </x:c>
      <x:c r="C5" s="21" t="str">
        <x:v>智能审计</x:v>
      </x:c>
      <x:c r="D5" s="23" t="n">
        <x:v>5</x:v>
      </x:c>
      <x:c r="E5" s="23" t="n">
        <x:v>4.5</x:v>
      </x:c>
      <x:c r="F5" s="23" t="n">
        <x:v>5</x:v>
      </x:c>
      <x:c r="G5" s="23" t="n">
        <x:v>5</x:v>
      </x:c>
      <x:c r="H5" s="23" t="n">
        <x:v>5</x:v>
      </x:c>
      <x:c r="I5" s="23" t="n">
        <x:v>4</x:v>
      </x:c>
      <x:c r="J5" s="23" t="n">
        <x:v>4.5</x:v>
      </x:c>
      <x:c r="K5" s="23" t="n">
        <x:f>SUM(D5:H5)</x:f>
        <x:v>24.5</x:v>
      </x:c>
      <x:c r="L5" s="23" t="n">
        <x:f>IF(M5="是",0,SUM(D5:J5))</x:f>
        <x:v>33</x:v>
      </x:c>
      <x:c r="M5" s="23" t="str">
        <x:v>否</x:v>
      </x:c>
      <x:c r="N5" s="23" t="str">
        <x:v>保留</x:v>
      </x:c>
      <x:c r="O5" s="21" t="str"/>
      <x:c r="P5" s="21" t="str">
        <x:v>五方面均衡；需准备真实感强的业务材料</x:v>
      </x:c>
    </x:row>
    <x:row r="6">
      <x:c r="A6" s="24" t="n">
        <x:v>2</x:v>
      </x:c>
      <x:c r="B6" s="22" t="str">
        <x:v>库存积压、减值与采购决策</x:v>
      </x:c>
      <x:c r="C6" s="22" t="str">
        <x:v>管理会计</x:v>
      </x:c>
      <x:c r="D6" s="24" t="n">
        <x:v>5</x:v>
      </x:c>
      <x:c r="E6" s="24" t="n">
        <x:v>4.5</x:v>
      </x:c>
      <x:c r="F6" s="24" t="n">
        <x:v>5</x:v>
      </x:c>
      <x:c r="G6" s="24" t="n">
        <x:v>5</x:v>
      </x:c>
      <x:c r="H6" s="24" t="n">
        <x:v>5</x:v>
      </x:c>
      <x:c r="I6" s="24" t="n">
        <x:v>5</x:v>
      </x:c>
      <x:c r="J6" s="24" t="n">
        <x:v>4.5</x:v>
      </x:c>
      <x:c r="K6" s="24" t="n">
        <x:f>SUM(D6:H6)</x:f>
        <x:v>24.5</x:v>
      </x:c>
      <x:c r="L6" s="24" t="n">
        <x:f>IF(M6="是",0,SUM(D6:J6))</x:f>
        <x:v>34</x:v>
      </x:c>
      <x:c r="M6" s="24" t="str">
        <x:v>否</x:v>
      </x:c>
      <x:c r="N6" s="24" t="str">
        <x:v>保留</x:v>
      </x:c>
      <x:c r="O6" s="22" t="str"/>
      <x:c r="P6" s="22" t="str">
        <x:v>数据较容易；需避免只做销量预测</x:v>
      </x:c>
    </x:row>
    <x:row r="7">
      <x:c r="A7" s="24" t="n">
        <x:v>3</x:v>
      </x:c>
      <x:c r="B7" s="22" t="str">
        <x:v>政府专项资金绩效穿透审计</x:v>
      </x:c>
      <x:c r="C7" s="22" t="str">
        <x:v>政府审计</x:v>
      </x:c>
      <x:c r="D7" s="24" t="n">
        <x:v>5</x:v>
      </x:c>
      <x:c r="E7" s="24" t="n">
        <x:v>4.5</x:v>
      </x:c>
      <x:c r="F7" s="24" t="n">
        <x:v>4.5</x:v>
      </x:c>
      <x:c r="G7" s="24" t="n">
        <x:v>5</x:v>
      </x:c>
      <x:c r="H7" s="24" t="n">
        <x:v>5</x:v>
      </x:c>
      <x:c r="I7" s="24" t="n">
        <x:v>4</x:v>
      </x:c>
      <x:c r="J7" s="24" t="n">
        <x:v>4</x:v>
      </x:c>
      <x:c r="K7" s="24" t="n">
        <x:f>SUM(D7:H7)</x:f>
        <x:v>24</x:v>
      </x:c>
      <x:c r="L7" s="24" t="n">
        <x:f>IF(M7="是",0,SUM(D7:J7))</x:f>
        <x:v>32</x:v>
      </x:c>
      <x:c r="M7" s="24" t="str">
        <x:v>否</x:v>
      </x:c>
      <x:c r="N7" s="24" t="str">
        <x:v>待讨论</x:v>
      </x:c>
      <x:c r="O7" s="22" t="str"/>
      <x:c r="P7" s="22" t="str">
        <x:v>社会价值强；需限定一个专项领域</x:v>
      </x:c>
    </x:row>
    <x:row r="8">
      <x:c r="A8" s="24" t="n">
        <x:v>4</x:v>
      </x:c>
      <x:c r="B8" s="22" t="str">
        <x:v>中小企业智能报价与接单决策</x:v>
      </x:c>
      <x:c r="C8" s="22" t="str">
        <x:v>成本会计</x:v>
      </x:c>
      <x:c r="D8" s="24" t="n">
        <x:v>5</x:v>
      </x:c>
      <x:c r="E8" s="24" t="n">
        <x:v>5</x:v>
      </x:c>
      <x:c r="F8" s="24" t="n">
        <x:v>4</x:v>
      </x:c>
      <x:c r="G8" s="24" t="n">
        <x:v>5</x:v>
      </x:c>
      <x:c r="H8" s="24" t="n">
        <x:v>5</x:v>
      </x:c>
      <x:c r="I8" s="24" t="n">
        <x:v>3.5</x:v>
      </x:c>
      <x:c r="J8" s="24" t="n">
        <x:v>4</x:v>
      </x:c>
      <x:c r="K8" s="24" t="n">
        <x:f>SUM(D8:H8)</x:f>
        <x:v>24</x:v>
      </x:c>
      <x:c r="L8" s="24" t="n">
        <x:f>IF(M8="是",0,SUM(D8:J8))</x:f>
        <x:v>31.5</x:v>
      </x:c>
      <x:c r="M8" s="24" t="str">
        <x:v>否</x:v>
      </x:c>
      <x:c r="N8" s="24" t="str">
        <x:v>待讨论</x:v>
      </x:c>
      <x:c r="O8" s="22" t="str"/>
      <x:c r="P8" s="22" t="str">
        <x:v>若能联系小企业，竞争力很强</x:v>
      </x:c>
    </x:row>
    <x:row r="9">
      <x:c r="A9" s="24" t="n">
        <x:v>5</x:v>
      </x:c>
      <x:c r="B9" s="22" t="str">
        <x:v>电子凭证全流程智能稽核</x:v>
      </x:c>
      <x:c r="C9" s="22" t="str">
        <x:v>财务会计</x:v>
      </x:c>
      <x:c r="D9" s="24" t="n">
        <x:v>4.5</x:v>
      </x:c>
      <x:c r="E9" s="24" t="n">
        <x:v>4.5</x:v>
      </x:c>
      <x:c r="F9" s="24" t="n">
        <x:v>5</x:v>
      </x:c>
      <x:c r="G9" s="24" t="n">
        <x:v>5</x:v>
      </x:c>
      <x:c r="H9" s="24" t="n">
        <x:v>4.5</x:v>
      </x:c>
      <x:c r="I9" s="24" t="n">
        <x:v>5</x:v>
      </x:c>
      <x:c r="J9" s="24" t="n">
        <x:v>4.5</x:v>
      </x:c>
      <x:c r="K9" s="24" t="n">
        <x:f>SUM(D9:H9)</x:f>
        <x:v>23.5</x:v>
      </x:c>
      <x:c r="L9" s="24" t="n">
        <x:f>IF(M9="是",0,SUM(D9:J9))</x:f>
        <x:v>33</x:v>
      </x:c>
      <x:c r="M9" s="24" t="str">
        <x:v>否</x:v>
      </x:c>
      <x:c r="N9" s="24" t="str">
        <x:v>待讨论</x:v>
      </x:c>
      <x:c r="O9" s="22" t="str"/>
      <x:c r="P9" s="22" t="str">
        <x:v>必须突出制度自动转规则，不做普通报销机器人</x:v>
      </x:c>
    </x:row>
    <x:row r="10">
      <x:c r="A10" s="24" t="n">
        <x:v>6</x:v>
      </x:c>
      <x:c r="B10" s="22" t="str">
        <x:v>工程采购全过程内审</x:v>
      </x:c>
      <x:c r="C10" s="22" t="str">
        <x:v>内部审计</x:v>
      </x:c>
      <x:c r="D10" s="24" t="n">
        <x:v>4.5</x:v>
      </x:c>
      <x:c r="E10" s="24" t="n">
        <x:v>5</x:v>
      </x:c>
      <x:c r="F10" s="24" t="n">
        <x:v>4</x:v>
      </x:c>
      <x:c r="G10" s="24" t="n">
        <x:v>4.5</x:v>
      </x:c>
      <x:c r="H10" s="24" t="n">
        <x:v>5</x:v>
      </x:c>
      <x:c r="I10" s="24" t="n">
        <x:v>3.5</x:v>
      </x:c>
      <x:c r="J10" s="24" t="n">
        <x:v>3.5</x:v>
      </x:c>
      <x:c r="K10" s="24" t="n">
        <x:f>SUM(D10:H10)</x:f>
        <x:v>23</x:v>
      </x:c>
      <x:c r="L10" s="24" t="n">
        <x:f>IF(M10="是",0,SUM(D10:J10))</x:f>
        <x:v>30</x:v>
      </x:c>
      <x:c r="M10" s="24" t="str">
        <x:v>否</x:v>
      </x:c>
      <x:c r="N10" s="24" t="str">
        <x:v>待讨论</x:v>
      </x:c>
      <x:c r="O10" s="22" t="str"/>
      <x:c r="P10" s="22" t="str">
        <x:v>展示强；数据与法律表述风险较高</x:v>
      </x:c>
    </x:row>
    <x:row r="11">
      <x:c r="A11" s="24" t="n">
        <x:v>7</x:v>
      </x:c>
      <x:c r="B11" s="22" t="str">
        <x:v>13周现金生存决策</x:v>
      </x:c>
      <x:c r="C11" s="22" t="str">
        <x:v>财务管理</x:v>
      </x:c>
      <x:c r="D11" s="24" t="n">
        <x:v>5</x:v>
      </x:c>
      <x:c r="E11" s="24" t="n">
        <x:v>4.5</x:v>
      </x:c>
      <x:c r="F11" s="24" t="n">
        <x:v>4</x:v>
      </x:c>
      <x:c r="G11" s="24" t="n">
        <x:v>5</x:v>
      </x:c>
      <x:c r="H11" s="24" t="n">
        <x:v>5</x:v>
      </x:c>
      <x:c r="I11" s="24" t="n">
        <x:v>3.5</x:v>
      </x:c>
      <x:c r="J11" s="24" t="n">
        <x:v>4</x:v>
      </x:c>
      <x:c r="K11" s="24" t="n">
        <x:f>SUM(D11:H11)</x:f>
        <x:v>23.5</x:v>
      </x:c>
      <x:c r="L11" s="24" t="n">
        <x:f>IF(M11="是",0,SUM(D11:J11))</x:f>
        <x:v>31</x:v>
      </x:c>
      <x:c r="M11" s="24" t="str">
        <x:v>否</x:v>
      </x:c>
      <x:c r="N11" s="24" t="str">
        <x:v>待讨论</x:v>
      </x:c>
      <x:c r="O11" s="22" t="str"/>
      <x:c r="P11" s="22" t="str">
        <x:v>需要较完整现金收支数据</x:v>
      </x:c>
    </x:row>
    <x:row r="12">
      <x:c r="A12" s="24" t="n">
        <x:v>8</x:v>
      </x:c>
      <x:c r="B12" s="22" t="str">
        <x:v>年报风险与监管问询回测</x:v>
      </x:c>
      <x:c r="C12" s="22" t="str">
        <x:v>智能审计</x:v>
      </x:c>
      <x:c r="D12" s="24" t="n">
        <x:v>4.5</x:v>
      </x:c>
      <x:c r="E12" s="24" t="n">
        <x:v>4</x:v>
      </x:c>
      <x:c r="F12" s="24" t="n">
        <x:v>5</x:v>
      </x:c>
      <x:c r="G12" s="24" t="n">
        <x:v>5</x:v>
      </x:c>
      <x:c r="H12" s="24" t="n">
        <x:v>4.5</x:v>
      </x:c>
      <x:c r="I12" s="24" t="n">
        <x:v>5</x:v>
      </x:c>
      <x:c r="J12" s="24" t="n">
        <x:v>4.5</x:v>
      </x:c>
      <x:c r="K12" s="24" t="n">
        <x:f>SUM(D12:H12)</x:f>
        <x:v>23</x:v>
      </x:c>
      <x:c r="L12" s="24" t="n">
        <x:f>IF(M12="是",0,SUM(D12:J12))</x:f>
        <x:v>32.5</x:v>
      </x:c>
      <x:c r="M12" s="24" t="str">
        <x:v>否</x:v>
      </x:c>
      <x:c r="N12" s="24" t="str">
        <x:v>保留</x:v>
      </x:c>
      <x:c r="O12" s="22" t="str"/>
      <x:c r="P12" s="22" t="str">
        <x:v>最稳，但必须限定行业和风险主题</x:v>
      </x:c>
    </x:row>
    <x:row r="13">
      <x:c r="A13" s="24" t="n">
        <x:v>9</x:v>
      </x:c>
      <x:c r="B13" s="22" t="str">
        <x:v>财务账、能源账与碳排账联审</x:v>
      </x:c>
      <x:c r="C13" s="22" t="str">
        <x:v>可持续会计</x:v>
      </x:c>
      <x:c r="D13" s="24" t="n">
        <x:v>5</x:v>
      </x:c>
      <x:c r="E13" s="24" t="n">
        <x:v>5</x:v>
      </x:c>
      <x:c r="F13" s="24" t="n">
        <x:v>3.5</x:v>
      </x:c>
      <x:c r="G13" s="24" t="n">
        <x:v>4</x:v>
      </x:c>
      <x:c r="H13" s="24" t="n">
        <x:v>5</x:v>
      </x:c>
      <x:c r="I13" s="24" t="n">
        <x:v>3.5</x:v>
      </x:c>
      <x:c r="J13" s="24" t="n">
        <x:v>3</x:v>
      </x:c>
      <x:c r="K13" s="24" t="n">
        <x:f>SUM(D13:H13)</x:f>
        <x:v>22.5</x:v>
      </x:c>
      <x:c r="L13" s="24" t="n">
        <x:f>IF(M13="是",0,SUM(D13:J13))</x:f>
        <x:v>29</x:v>
      </x:c>
      <x:c r="M13" s="24" t="str">
        <x:v>否</x:v>
      </x:c>
      <x:c r="N13" s="24" t="str">
        <x:v>待讨论</x:v>
      </x:c>
      <x:c r="O13" s="22" t="str"/>
      <x:c r="P13" s="22" t="str">
        <x:v>新颖；学习和数据难度较高</x:v>
      </x:c>
    </x:row>
    <x:row r="14">
      <x:c r="A14" s="24" t="n">
        <x:v>10</x:v>
      </x:c>
      <x:c r="B14" s="22" t="str">
        <x:v>审计整改闭环监督</x:v>
      </x:c>
      <x:c r="C14" s="22" t="str">
        <x:v>内部审计</x:v>
      </x:c>
      <x:c r="D14" s="24" t="n">
        <x:v>4.5</x:v>
      </x:c>
      <x:c r="E14" s="24" t="n">
        <x:v>4.5</x:v>
      </x:c>
      <x:c r="F14" s="24" t="n">
        <x:v>4.5</x:v>
      </x:c>
      <x:c r="G14" s="24" t="n">
        <x:v>4.5</x:v>
      </x:c>
      <x:c r="H14" s="24" t="n">
        <x:v>4.5</x:v>
      </x:c>
      <x:c r="I14" s="24" t="n">
        <x:v>3.5</x:v>
      </x:c>
      <x:c r="J14" s="24" t="n">
        <x:v>4</x:v>
      </x:c>
      <x:c r="K14" s="24" t="n">
        <x:f>SUM(D14:H14)</x:f>
        <x:v>22.5</x:v>
      </x:c>
      <x:c r="L14" s="24" t="n">
        <x:f>IF(M14="是",0,SUM(D14:J14))</x:f>
        <x:v>30</x:v>
      </x:c>
      <x:c r="M14" s="24" t="str">
        <x:v>否</x:v>
      </x:c>
      <x:c r="N14" s="24" t="str">
        <x:v>待讨论</x:v>
      </x:c>
      <x:c r="O14" s="22" t="str"/>
      <x:c r="P14" s="22" t="str">
        <x:v>角度少见；真实整改证据可能不足</x:v>
      </x:c>
    </x:row>
    <x:row r="15">
      <x:c r="A15" s="24" t="n">
        <x:v>11</x:v>
      </x:c>
      <x:c r="B15" s="22" t="str">
        <x:v>数据资源入表证据链</x:v>
      </x:c>
      <x:c r="C15" s="22" t="str">
        <x:v>财务会计</x:v>
      </x:c>
      <x:c r="D15" s="24" t="n">
        <x:v>5</x:v>
      </x:c>
      <x:c r="E15" s="24" t="n">
        <x:v>5</x:v>
      </x:c>
      <x:c r="F15" s="24" t="n">
        <x:v>3</x:v>
      </x:c>
      <x:c r="G15" s="24" t="n">
        <x:v>3.5</x:v>
      </x:c>
      <x:c r="H15" s="24" t="n">
        <x:v>4.5</x:v>
      </x:c>
      <x:c r="I15" s="24" t="n">
        <x:v>2.5</x:v>
      </x:c>
      <x:c r="J15" s="24" t="n">
        <x:v>3</x:v>
      </x:c>
      <x:c r="K15" s="24" t="n">
        <x:f>SUM(D15:H15)</x:f>
        <x:v>21</x:v>
      </x:c>
      <x:c r="L15" s="24" t="n">
        <x:f>IF(M15="是",0,SUM(D15:J15))</x:f>
        <x:v>26.5</x:v>
      </x:c>
      <x:c r="M15" s="24" t="str">
        <x:v>否</x:v>
      </x:c>
      <x:c r="N15" s="24" t="str">
        <x:v>待讨论</x:v>
      </x:c>
      <x:c r="O15" s="22" t="str"/>
      <x:c r="P15" s="22" t="str">
        <x:v>政策前沿，但真实材料和标准答案难取得</x:v>
      </x:c>
    </x:row>
    <x:row r="16">
      <x:c r="A16" s="24"/>
      <x:c r="B16" s="22"/>
      <x:c r="C16" s="22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2"/>
      <x:c r="P16" s="22"/>
    </x:row>
    <x:row r="17">
      <x:c r="A17" s="31" t="str">
        <x:v>一票否决1</x:v>
      </x:c>
      <x:c r="B17" s="32" t="str">
        <x:v>48小时内拿不到3份可用样例</x:v>
      </x:c>
      <x:c r="C17" s="32" t="str"/>
      <x:c r="D17" s="31" t="str"/>
      <x:c r="E17" s="31" t="str"/>
      <x:c r="F17" s="31" t="str"/>
      <x:c r="G17" s="31" t="str"/>
      <x:c r="H17" s="31" t="str"/>
      <x:c r="I17" s="31" t="str"/>
      <x:c r="J17" s="31" t="str"/>
      <x:c r="K17" s="31" t="str"/>
      <x:c r="L17" s="31" t="str"/>
      <x:c r="M17" s="31" t="str"/>
      <x:c r="N17" s="31" t="str"/>
      <x:c r="O17" s="32" t="str"/>
      <x:c r="P17" s="32" t="str"/>
    </x:row>
    <x:row r="18">
      <x:c r="A18" s="31" t="str">
        <x:v>一票否决2</x:v>
      </x:c>
      <x:c r="B18" s="32" t="str">
        <x:v>没有人工参考答案／后续真实结果／可控制的植入错误，无法评测</x:v>
      </x:c>
      <x:c r="C18" s="32" t="str"/>
      <x:c r="D18" s="31" t="str"/>
      <x:c r="E18" s="31" t="str"/>
      <x:c r="F18" s="31" t="str"/>
      <x:c r="G18" s="31" t="str"/>
      <x:c r="H18" s="31" t="str"/>
      <x:c r="I18" s="31" t="str"/>
      <x:c r="J18" s="31" t="str"/>
      <x:c r="K18" s="31" t="str"/>
      <x:c r="L18" s="31" t="str"/>
      <x:c r="M18" s="31" t="str"/>
      <x:c r="N18" s="31" t="str"/>
      <x:c r="O18" s="32" t="str"/>
      <x:c r="P18" s="32" t="str"/>
    </x:row>
    <x:row r="19">
      <x:c r="A19" s="24"/>
      <x:c r="B19" s="22"/>
      <x:c r="C19" s="22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2"/>
      <x:c r="P19" s="22"/>
    </x:row>
    <x:row r="20">
      <x:c r="A20" s="24"/>
      <x:c r="B20" s="22"/>
      <x:c r="C20" s="22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2"/>
      <x:c r="P20" s="22"/>
    </x:row>
  </x:sheetData>
  <x:mergeCells>
    <x:mergeCell ref="A1:P1"/>
    <x:mergeCell ref="A2:P2"/>
    <x:mergeCell ref="B17:P17"/>
    <x:mergeCell ref="B18:P18"/>
  </x:mergeCells>
  <x:conditionalFormatting sqref="D5:J20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N5:N20">
    <x:cfRule type="containsText" dxfId="0" priority="2" operator="containsText" text="已完成"/>
    <x:cfRule type="containsText" dxfId="1" priority="3" operator="containsText" text="阻塞"/>
    <x:cfRule type="containsText" dxfId="2" priority="4" operator="containsText" text="待"/>
  </x:conditionalFormatting>
  <x:conditionalFormatting sqref="M5:M20">
    <x:cfRule type="containsText" dxfId="3" priority="5" operator="containsText" text="是"/>
  </x:conditionalFormatting>
  <x:dataValidations count="3">
    <x:dataValidation type="list" sqref="D5:J20">
      <x:formula1>"1,1.5,2,2.5,3,3.5,4,4.5,5"</x:formula1>
    </x:dataValidation>
    <x:dataValidation type="list" sqref="M5:M20">
      <x:formula1>"否,是"</x:formula1>
    </x:dataValidation>
    <x:dataValidation type="list" sqref="N5:N20">
      <x:formula1>"待讨论,保留,淘汰,首选"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30" hidden="0" customWidth="1"/>
    <x:col min="4" max="4" width="28" hidden="0" customWidth="1"/>
    <x:col min="5" max="5" width="30" hidden="0" customWidth="1"/>
    <x:col min="6" max="6" width="28" hidden="0" customWidth="1"/>
    <x:col min="7" max="7" width="30" hidden="0" customWidth="1"/>
    <x:col min="8" max="8" width="30" hidden="0" customWidth="1"/>
    <x:col min="9" max="9" width="28" hidden="0" customWidth="1"/>
    <x:col min="10" max="10" width="28" hidden="0" customWidth="1"/>
    <x:col min="11" max="11" width="24" hidden="0" customWidth="1"/>
    <x:col min="12" max="12" width="30" hidden="0" customWidth="1"/>
  </x:cols>
  <x:sheetData>
    <x:row r="1" ht="34" customHeight="1">
      <x:c r="A1" s="3" t="str">
        <x:v>候选选题一页纸要素</x:v>
      </x:c>
      <x:c r="B1" s="3" t="str">
        <x:v>候选选题一页纸要素</x:v>
      </x:c>
      <x:c r="C1" s="3" t="str">
        <x:v>候选选题一页纸要素</x:v>
      </x:c>
      <x:c r="D1" s="3" t="str">
        <x:v>候选选题一页纸要素</x:v>
      </x:c>
      <x:c r="E1" s="3" t="str">
        <x:v>候选选题一页纸要素</x:v>
      </x:c>
      <x:c r="F1" s="3" t="str">
        <x:v>候选选题一页纸要素</x:v>
      </x:c>
      <x:c r="G1" s="3" t="str">
        <x:v>候选选题一页纸要素</x:v>
      </x:c>
      <x:c r="H1" s="3" t="str">
        <x:v>候选选题一页纸要素</x:v>
      </x:c>
      <x:c r="I1" s="3" t="str">
        <x:v>候选选题一页纸要素</x:v>
      </x:c>
      <x:c r="J1" s="3" t="str">
        <x:v>候选选题一页纸要素</x:v>
      </x:c>
      <x:c r="K1" s="3" t="str">
        <x:v>候选选题一页纸要素</x:v>
      </x:c>
      <x:c r="L1" s="3" t="str">
        <x:v>候选选题一页纸要素</x:v>
      </x:c>
    </x:row>
    <x:row r="2" ht="30" customHeight="1">
      <x:c r="A2" s="7" t="str">
        <x:v>每个候选题只占一行。不能说清“谁用、输入什么、输出什么、如何证明有效”的题目，不进入前三名。</x:v>
      </x:c>
      <x:c r="B2" s="7" t="str">
        <x:v>每个候选题只占一行。不能说清“谁用、输入什么、输出什么、如何证明有效”的题目，不进入前三名。</x:v>
      </x:c>
      <x:c r="C2" s="7" t="str">
        <x:v>每个候选题只占一行。不能说清“谁用、输入什么、输出什么、如何证明有效”的题目，不进入前三名。</x:v>
      </x:c>
      <x:c r="D2" s="7" t="str">
        <x:v>每个候选题只占一行。不能说清“谁用、输入什么、输出什么、如何证明有效”的题目，不进入前三名。</x:v>
      </x:c>
      <x:c r="E2" s="7" t="str">
        <x:v>每个候选题只占一行。不能说清“谁用、输入什么、输出什么、如何证明有效”的题目，不进入前三名。</x:v>
      </x:c>
      <x:c r="F2" s="7" t="str">
        <x:v>每个候选题只占一行。不能说清“谁用、输入什么、输出什么、如何证明有效”的题目，不进入前三名。</x:v>
      </x:c>
      <x:c r="G2" s="7" t="str">
        <x:v>每个候选题只占一行。不能说清“谁用、输入什么、输出什么、如何证明有效”的题目，不进入前三名。</x:v>
      </x:c>
      <x:c r="H2" s="7" t="str">
        <x:v>每个候选题只占一行。不能说清“谁用、输入什么、输出什么、如何证明有效”的题目，不进入前三名。</x:v>
      </x:c>
      <x:c r="I2" s="7" t="str">
        <x:v>每个候选题只占一行。不能说清“谁用、输入什么、输出什么、如何证明有效”的题目，不进入前三名。</x:v>
      </x:c>
      <x:c r="J2" s="7" t="str">
        <x:v>每个候选题只占一行。不能说清“谁用、输入什么、输出什么、如何证明有效”的题目，不进入前三名。</x:v>
      </x:c>
      <x:c r="K2" s="7" t="str">
        <x:v>每个候选题只占一行。不能说清“谁用、输入什么、输出什么、如何证明有效”的题目，不进入前三名。</x:v>
      </x:c>
      <x:c r="L2" s="7" t="str">
        <x:v>每个候选题只占一行。不能说清“谁用、输入什么、输出什么、如何证明有效”的题目，不进入前三名。</x:v>
      </x:c>
    </x:row>
    <x:row r="4" ht="31" customHeight="1">
      <x:c r="A4" s="13" t="str">
        <x:v>候选题</x:v>
      </x:c>
      <x:c r="B4" s="13" t="str">
        <x:v>首要用户</x:v>
      </x:c>
      <x:c r="C4" s="13" t="str">
        <x:v>当前具体痛点</x:v>
      </x:c>
      <x:c r="D4" s="13" t="str">
        <x:v>可取得输入</x:v>
      </x:c>
      <x:c r="E4" s="13" t="str">
        <x:v>结构化输出</x:v>
      </x:c>
      <x:c r="F4" s="13" t="str">
        <x:v>3分钟演示冲突</x:v>
      </x:c>
      <x:c r="G4" s="13" t="str">
        <x:v>专业方法创新</x:v>
      </x:c>
      <x:c r="H4" s="13" t="str">
        <x:v>防AI乱说机制</x:v>
      </x:c>
      <x:c r="I4" s="13" t="str">
        <x:v>效果评估</x:v>
      </x:c>
      <x:c r="J4" s="13" t="str">
        <x:v>数据来源线索</x:v>
      </x:c>
      <x:c r="K4" s="13" t="str">
        <x:v>最大风险</x:v>
      </x:c>
      <x:c r="L4" s="13" t="str">
        <x:v>四周MVP边界</x:v>
      </x:c>
    </x:row>
    <x:row r="5" ht="86" customHeight="1">
      <x:c r="A5" s="21" t="str">
        <x:v>合同收入确认证据链</x:v>
      </x:c>
      <x:c r="B5" s="21" t="str">
        <x:v>审计项目组</x:v>
      </x:c>
      <x:c r="C5" s="21" t="str">
        <x:v>合同、发货、验收和入账时间分散，人工核对慢</x:v>
      </x:c>
      <x:c r="D5" s="21" t="str">
        <x:v>合同／出库／验收／发票／回款</x:v>
      </x:c>
      <x:c r="E5" s="21" t="str">
        <x:v>收入确认时间线＋证据差异＋核查任务卡</x:v>
      </x:c>
      <x:c r="F5" s="21" t="str">
        <x:v>12月入账但次年才验收</x:v>
      </x:c>
      <x:c r="G5" s="21" t="str">
        <x:v>履约义务—时间线—会计处理—审计程序闭环</x:v>
      </x:c>
      <x:c r="H5" s="21" t="str">
        <x:v>第二岗位复核日期、金额、页码和过度表述</x:v>
      </x:c>
      <x:c r="I5" s="21" t="str">
        <x:v>植入提前确认等错误，与人工／直接AI比较</x:v>
      </x:c>
      <x:c r="J5" s="21" t="str">
        <x:v>模拟业务包＋公开合同条款／准则</x:v>
      </x:c>
      <x:c r="K5" s="21" t="str">
        <x:v>材料需足够真实</x:v>
      </x:c>
      <x:c r="L5" s="21" t="str">
        <x:v>一种业务、3—5类错误、3个演示案例</x:v>
      </x:c>
    </x:row>
    <x:row r="6" ht="86" customHeight="1">
      <x:c r="A6" s="22" t="str">
        <x:v>库存积压、减值与采购决策</x:v>
      </x:c>
      <x:c r="B6" s="22" t="str">
        <x:v>零售／小企业财务</x:v>
      </x:c>
      <x:c r="C6" s="22" t="str">
        <x:v>只看销量和毛利，忽略库龄与现金占用</x:v>
      </x:c>
      <x:c r="D6" s="22" t="str">
        <x:v>销售／库存／采购／售价／退货</x:v>
      </x:c>
      <x:c r="E6" s="22" t="str">
        <x:v>红黄绿清单＋减值提示＋采购／清仓方案＋释放现金</x:v>
      </x:c>
      <x:c r="F6" s="22" t="str">
        <x:v>销量下降后某商品从补货变为清仓</x:v>
      </x:c>
      <x:c r="G6" s="22" t="str">
        <x:v>周转、毛利、资金占用、减值联合决策</x:v>
      </x:c>
      <x:c r="H6" s="22" t="str">
        <x:v>复核缺货、亏本促销和异常数据</x:v>
      </x:c>
      <x:c r="I6" s="22" t="str">
        <x:v>用前期数据决策、后期销售回测</x:v>
      </x:c>
      <x:c r="J6" s="22" t="str">
        <x:v>公开零售数据／校园商店</x:v>
      </x:c>
      <x:c r="K6" s="22" t="str">
        <x:v>容易变成预测项目</x:v>
      </x:c>
      <x:c r="L6" s="22" t="str">
        <x:v>一个品类、50—200个SKU、3类决策</x:v>
      </x:c>
    </x:row>
    <x:row r="7" ht="86" customHeight="1">
      <x:c r="A7" s="22" t="str">
        <x:v>专项资金绩效穿透审计</x:v>
      </x:c>
      <x:c r="B7" s="22" t="str">
        <x:v>政府审计／单位内审</x:v>
      </x:c>
      <x:c r="C7" s="22" t="str">
        <x:v>资金执行率高不代表项目效果真实</x:v>
      </x:c>
      <x:c r="D7" s="22" t="str">
        <x:v>绩效目标／预算／采购／合同／验收／效果</x:v>
      </x:c>
      <x:c r="E7" s="22" t="str">
        <x:v>资金—成果证据链＋高执行低绩效提示</x:v>
      </x:c>
      <x:c r="F7" s="22" t="str">
        <x:v>设备采购完成但使用率证据不足</x:v>
      </x:c>
      <x:c r="G7" s="22" t="str">
        <x:v>合规与绩效同链检查</x:v>
      </x:c>
      <x:c r="H7" s="22" t="str">
        <x:v>质疑模糊目标和证据不足</x:v>
      </x:c>
      <x:c r="I7" s="22" t="str">
        <x:v>对照公开审计报告已发现问题</x:v>
      </x:c>
      <x:c r="J7" s="22" t="str">
        <x:v>公开预算绩效／采购／审计报告</x:v>
      </x:c>
      <x:c r="K7" s="22" t="str">
        <x:v>资料跨网站且分散</x:v>
      </x:c>
      <x:c r="L7" s="22" t="str">
        <x:v>一个专项领域、3个历史项目</x:v>
      </x:c>
    </x:row>
    <x:row r="8" ht="86" customHeight="1">
      <x:c r="A8" s="22" t="str">
        <x:v>智能报价与接单决策</x:v>
      </x:c>
      <x:c r="B8" s="22" t="str">
        <x:v>小微制造／加工企业</x:v>
      </x:c>
      <x:c r="C8" s="22" t="str">
        <x:v>成本加成报价忽略产能和机会成本</x:v>
      </x:c>
      <x:c r="D8" s="22" t="str">
        <x:v>订单／材料／工时／产能／交期／账期</x:v>
      </x:c>
      <x:c r="E8" s="22" t="str">
        <x:v>接单／加价／附条件／拒绝决策卡</x:v>
      </x:c>
      <x:c r="F8" s="22" t="str">
        <x:v>交期从14天改为5天后重新报价</x:v>
      </x:c>
      <x:c r="G8" s="22" t="str">
        <x:v>成本、边际贡献、机会成本与产能约束</x:v>
      </x:c>
      <x:c r="H8" s="22" t="str">
        <x:v>挑战价格、工时和产能假设</x:v>
      </x:c>
      <x:c r="I8" s="22" t="str">
        <x:v>与Excel成本加成法比较利润和时间</x:v>
      </x:c>
      <x:c r="J8" s="22" t="str">
        <x:v>本地打印／广告／加工企业</x:v>
      </x:c>
      <x:c r="K8" s="22" t="str">
        <x:v>企业数据难获取</x:v>
      </x:c>
      <x:c r="L8" s="22" t="str">
        <x:v>一种订单、30—50笔脱敏案例</x:v>
      </x:c>
    </x:row>
    <x:row r="9" ht="86" customHeight="1">
      <x:c r="A9" s="22" t="str">
        <x:v>电子凭证全流程稽核</x:v>
      </x:c>
      <x:c r="B9" s="22" t="str">
        <x:v>企业／学校财务</x:v>
      </x:c>
      <x:c r="C9" s="22" t="str">
        <x:v>制度条款难快速转成统一检查规则</x:v>
      </x:c>
      <x:c r="D9" s="22" t="str">
        <x:v>制度／电子发票／回单／行程／审批</x:v>
      </x:c>
      <x:c r="E9" s="22" t="str">
        <x:v>合规结论＋制度条款＋缺件清单＋分录建议</x:v>
      </x:c>
      <x:c r="F9" s="22" t="str">
        <x:v>制度更新后规则自动变化</x:v>
      </x:c>
      <x:c r="G9" s="22" t="str">
        <x:v>制度文字转规则并人工确认</x:v>
      </x:c>
      <x:c r="H9" s="22" t="str">
        <x:v>规则未确认不启用；来源条款必填</x:v>
      </x:c>
      <x:c r="I9" s="22" t="str">
        <x:v>植入重复、超标、时间冲突等错误</x:v>
      </x:c>
      <x:c r="J9" s="22" t="str">
        <x:v>公开制度＋财政部标准实例</x:v>
      </x:c>
      <x:c r="K9" s="22" t="str">
        <x:v>容易被认为是普通报销软件</x:v>
      </x:c>
      <x:c r="L9" s="22" t="str">
        <x:v>两类费用、20条规则、30个测试包</x:v>
      </x:c>
    </x:row>
    <x:row r="10" ht="86" customHeight="1">
      <x:c r="A10" s="22" t="str">
        <x:v>工程采购全过程内审</x:v>
      </x:c>
      <x:c r="B10" s="22" t="str">
        <x:v>企业／高校内审</x:v>
      </x:c>
      <x:c r="C10" s="22" t="str">
        <x:v>招投标、变更、验收和付款分散</x:v>
      </x:c>
      <x:c r="D10" s="22" t="str">
        <x:v>招标／投标／合同／变更／验收／付款</x:v>
      </x:c>
      <x:c r="E10" s="22" t="str">
        <x:v>关系图＋时间线＋异常证据卡</x:v>
      </x:c>
      <x:c r="F10" s="22" t="str">
        <x:v>投标人疑似关联且中标后多次增额</x:v>
      </x:c>
      <x:c r="G10" s="22" t="str">
        <x:v>关系、金额和时间联合审计</x:v>
      </x:c>
      <x:c r="H10" s="22" t="str">
        <x:v>只提示线索并验证合理解释</x:v>
      </x:c>
      <x:c r="I10" s="22" t="str">
        <x:v>植入拆单、提前付款、异常变更</x:v>
      </x:c>
      <x:c r="J10" s="22" t="str">
        <x:v>公开采购材料＋模拟项目</x:v>
      </x:c>
      <x:c r="K10" s="22" t="str">
        <x:v>法律表述与数据整理难</x:v>
      </x:c>
      <x:c r="L10" s="22" t="str">
        <x:v>一个项目、5类异常、固定供应商网络</x:v>
      </x:c>
    </x:row>
    <x:row r="11" ht="86" customHeight="1">
      <x:c r="A11" s="22" t="str">
        <x:v>13周现金生存决策</x:v>
      </x:c>
      <x:c r="B11" s="22" t="str">
        <x:v>中小企业老板／财务</x:v>
      </x:c>
      <x:c r="C11" s="22" t="str">
        <x:v>只看月末余额，不能提前安排资金动作</x:v>
      </x:c>
      <x:c r="D11" s="22" t="str">
        <x:v>应收／应付／工资／采购／贷款／销售</x:v>
      </x:c>
      <x:c r="E11" s="22" t="str">
        <x:v>周现金曲线＋缺口日期＋组合行动方案</x:v>
      </x:c>
      <x:c r="F11" s="22" t="str">
        <x:v>客户晚付15天后现金缺口提前</x:v>
      </x:c>
      <x:c r="G11" s="22" t="str">
        <x:v>短期现金预测与反事实决策</x:v>
      </x:c>
      <x:c r="H11" s="22" t="str">
        <x:v>复核方案对利润和经营的副作用</x:v>
      </x:c>
      <x:c r="I11" s="22" t="str">
        <x:v>滚动预测误差与行动效果</x:v>
      </x:c>
      <x:c r="J11" s="22" t="str">
        <x:v>企业脱敏数据／可信模拟</x:v>
      </x:c>
      <x:c r="K11" s="22" t="str">
        <x:v>完整现金流数据难拿</x:v>
      </x:c>
      <x:c r="L11" s="22" t="str">
        <x:v>一种企业、13周、4类行动</x:v>
      </x:c>
    </x:row>
    <x:row r="12" ht="86" customHeight="1">
      <x:c r="A12" s="22" t="str">
        <x:v>年报风险与问询回测</x:v>
      </x:c>
      <x:c r="B12" s="22" t="str">
        <x:v>审计项目组</x:v>
      </x:c>
      <x:c r="C12" s="22" t="str">
        <x:v>年报长，风险线索难快速定位并验证</x:v>
      </x:c>
      <x:c r="D12" s="22" t="str">
        <x:v>年报＋当时已公开规则／案例</x:v>
      </x:c>
      <x:c r="E12" s="22" t="str">
        <x:v>带页码风险任务卡＋后续问询对比</x:v>
      </x:c>
      <x:c r="F12" s="22" t="str">
        <x:v>输出锁定后才揭晓监管问询</x:v>
      </x:c>
      <x:c r="G12" s="22" t="str">
        <x:v>时点隔离回测和完整证据链</x:v>
      </x:c>
      <x:c r="H12" s="22" t="str">
        <x:v>复核无页码、无来源和过度结论</x:v>
      </x:c>
      <x:c r="I12" s="22" t="str">
        <x:v>覆盖后来问询、引用、时间、无依据结论</x:v>
      </x:c>
      <x:c r="J12" s="22" t="str">
        <x:v>年报／问询函／回复</x:v>
      </x:c>
      <x:c r="K12" s="22" t="str">
        <x:v>年报AI工具较常见</x:v>
      </x:c>
      <x:c r="L12" s="22" t="str">
        <x:v>一个行业、8类风险、10—15个回测</x:v>
      </x:c>
    </x:row>
    <x:row r="13" ht="86" customHeight="1">
      <x:c r="A13" s="22" t="str">
        <x:v>三账联审</x:v>
      </x:c>
      <x:c r="B13" s="22" t="str">
        <x:v>可持续报告编制／鉴证</x:v>
      </x:c>
      <x:c r="C13" s="22" t="str">
        <x:v>财务、能源和碳排披露可能不一致</x:v>
      </x:c>
      <x:c r="D13" s="22" t="str">
        <x:v>年报／可持续报告／能源／产量／处罚</x:v>
      </x:c>
      <x:c r="E13" s="22" t="str">
        <x:v>三账差异＋计算＋核查程序</x:v>
      </x:c>
      <x:c r="F13" s="22" t="str">
        <x:v>产量与能源成本升高但披露碳排下降</x:v>
      </x:c>
      <x:c r="G13" s="22" t="str">
        <x:v>财务—能源—碳排勾稽</x:v>
      </x:c>
      <x:c r="H13" s="22" t="str">
        <x:v>第二角色质疑口径、边界和引用</x:v>
      </x:c>
      <x:c r="I13" s="22" t="str">
        <x:v>复算与公开事件对照</x:v>
      </x:c>
      <x:c r="J13" s="22" t="str">
        <x:v>上市公司公开报告／环保信息</x:v>
      </x:c>
      <x:c r="K13" s="22" t="str">
        <x:v>专业边界和口径复杂</x:v>
      </x:c>
      <x:c r="L13" s="22" t="str">
        <x:v>一个行业、范围1／2中一类排放</x:v>
      </x:c>
    </x:row>
    <x:row r="14" ht="86" customHeight="1">
      <x:c r="A14" s="22" t="str">
        <x:v>审计整改闭环</x:v>
      </x:c>
      <x:c r="B14" s="22" t="str">
        <x:v>内审／监督部门</x:v>
      </x:c>
      <x:c r="C14" s="22" t="str">
        <x:v>提交材料不等于问题真正整改</x:v>
      </x:c>
      <x:c r="D14" s="22" t="str">
        <x:v>问题／要求／责任／期限／整改证据／复查</x:v>
      </x:c>
      <x:c r="E14" s="22" t="str">
        <x:v>整改充分性＋缺件＋复发提示</x:v>
      </x:c>
      <x:c r="F14" s="22" t="str">
        <x:v>已报完成但材料未回应原问题</x:v>
      </x:c>
      <x:c r="G14" s="22" t="str">
        <x:v>问题—证据—复查—复发闭环</x:v>
      </x:c>
      <x:c r="H14" s="22" t="str">
        <x:v>反向检查证据是否回答原问题</x:v>
      </x:c>
      <x:c r="I14" s="22" t="str">
        <x:v>与公开复查结论／人工判断比较</x:v>
      </x:c>
      <x:c r="J14" s="22" t="str">
        <x:v>公开整改公告＋模拟证据</x:v>
      </x:c>
      <x:c r="K14" s="22" t="str">
        <x:v>真实整改资料少</x:v>
      </x:c>
      <x:c r="L14" s="22" t="str">
        <x:v>3类问题、20个整改事项</x:v>
      </x:c>
    </x:row>
    <x:row r="15" ht="86" customHeight="1">
      <x:c r="A15" s="22" t="str">
        <x:v>数据资源入表证据链</x:v>
      </x:c>
      <x:c r="B15" s="22" t="str">
        <x:v>数据企业财务</x:v>
      </x:c>
      <x:c r="C15" s="22" t="str">
        <x:v>数据取得、加工和权利证据难形成入表判断</x:v>
      </x:c>
      <x:c r="D15" s="22" t="str">
        <x:v>合同／权利／成本／加工／使用／收益</x:v>
      </x:c>
      <x:c r="E15" s="22" t="str">
        <x:v>确认条件证据链＋费用化／资产化提示＋披露清单</x:v>
      </x:c>
      <x:c r="F15" s="22" t="str">
        <x:v>有成本但缺少控制权证据</x:v>
      </x:c>
      <x:c r="G15" s="22" t="str">
        <x:v>权利、成本、收益与披露联合判断</x:v>
      </x:c>
      <x:c r="H15" s="22" t="str">
        <x:v>证据不足只提示待核实</x:v>
      </x:c>
      <x:c r="I15" s="22" t="str">
        <x:v>专家参考案例与植入证据缺口</x:v>
      </x:c>
      <x:c r="J15" s="22" t="str">
        <x:v>政策文件＋模拟企业资料</x:v>
      </x:c>
      <x:c r="K15" s="22" t="str">
        <x:v>标准答案与内部资料难得</x:v>
      </x:c>
      <x:c r="L15" s="22" t="str">
        <x:v>一种数据产品、10个案例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30" hidden="0" customWidth="1"/>
    <x:col min="4" max="4" width="32" hidden="0" customWidth="1"/>
    <x:col min="5" max="5" width="14" hidden="0" customWidth="1"/>
    <x:col min="6" max="6" width="32" hidden="0" customWidth="1"/>
    <x:col min="7" max="7" width="28" hidden="0" customWidth="1"/>
    <x:col min="8" max="8" width="13" hidden="0" customWidth="1"/>
    <x:col min="9" max="9" width="13" hidden="0" customWidth="1"/>
    <x:col min="10" max="10" width="13" hidden="0" customWidth="1"/>
    <x:col min="11" max="11" width="30" hidden="0" customWidth="1"/>
  </x:cols>
  <x:sheetData>
    <x:row r="1" ht="34" customHeight="1">
      <x:c r="A1" s="3" t="str">
        <x:v>五项评审证据清单</x:v>
      </x:c>
      <x:c r="B1" s="3" t="str">
        <x:v>五项评审证据清单</x:v>
      </x:c>
      <x:c r="C1" s="3" t="str">
        <x:v>五项评审证据清单</x:v>
      </x:c>
      <x:c r="D1" s="3" t="str">
        <x:v>五项评审证据清单</x:v>
      </x:c>
      <x:c r="E1" s="3" t="str">
        <x:v>五项评审证据清单</x:v>
      </x:c>
      <x:c r="F1" s="3" t="str">
        <x:v>五项评审证据清单</x:v>
      </x:c>
      <x:c r="G1" s="3" t="str">
        <x:v>五项评审证据清单</x:v>
      </x:c>
      <x:c r="H1" s="3" t="str">
        <x:v>五项评审证据清单</x:v>
      </x:c>
      <x:c r="I1" s="3" t="str">
        <x:v>五项评审证据清单</x:v>
      </x:c>
      <x:c r="J1" s="3" t="str">
        <x:v>五项评审证据清单</x:v>
      </x:c>
      <x:c r="K1" s="3" t="str">
        <x:v>五项评审证据清单</x:v>
      </x:c>
    </x:row>
    <x:row r="2" ht="30" customHeight="1">
      <x:c r="A2" s="7" t="str">
        <x:v>不是写“我们很专业、很创新”，而是为每项主张准备评委现场能看到、能复核的证据。</x:v>
      </x:c>
      <x:c r="B2" s="7" t="str">
        <x:v>不是写“我们很专业、很创新”，而是为每项主张准备评委现场能看到、能复核的证据。</x:v>
      </x:c>
      <x:c r="C2" s="7" t="str">
        <x:v>不是写“我们很专业、很创新”，而是为每项主张准备评委现场能看到、能复核的证据。</x:v>
      </x:c>
      <x:c r="D2" s="7" t="str">
        <x:v>不是写“我们很专业、很创新”，而是为每项主张准备评委现场能看到、能复核的证据。</x:v>
      </x:c>
      <x:c r="E2" s="7" t="str">
        <x:v>不是写“我们很专业、很创新”，而是为每项主张准备评委现场能看到、能复核的证据。</x:v>
      </x:c>
      <x:c r="F2" s="7" t="str">
        <x:v>不是写“我们很专业、很创新”，而是为每项主张准备评委现场能看到、能复核的证据。</x:v>
      </x:c>
      <x:c r="G2" s="7" t="str">
        <x:v>不是写“我们很专业、很创新”，而是为每项主张准备评委现场能看到、能复核的证据。</x:v>
      </x:c>
      <x:c r="H2" s="7" t="str">
        <x:v>不是写“我们很专业、很创新”，而是为每项主张准备评委现场能看到、能复核的证据。</x:v>
      </x:c>
      <x:c r="I2" s="7" t="str">
        <x:v>不是写“我们很专业、很创新”，而是为每项主张准备评委现场能看到、能复核的证据。</x:v>
      </x:c>
      <x:c r="J2" s="7" t="str">
        <x:v>不是写“我们很专业、很创新”，而是为每项主张准备评委现场能看到、能复核的证据。</x:v>
      </x:c>
      <x:c r="K2" s="7" t="str">
        <x:v>不是写“我们很专业、很创新”，而是为每项主张准备评委现场能看到、能复核的证据。</x:v>
      </x:c>
    </x:row>
    <x:row r="4" ht="31" customHeight="1">
      <x:c r="A4" s="13" t="str">
        <x:v>评审方面</x:v>
      </x:c>
      <x:c r="B4" s="13" t="str">
        <x:v>证据编号</x:v>
      </x:c>
      <x:c r="C4" s="13" t="str">
        <x:v>准备证明什么</x:v>
      </x:c>
      <x:c r="D4" s="13" t="str">
        <x:v>需要产出</x:v>
      </x:c>
      <x:c r="E4" s="13" t="str">
        <x:v>负责人</x:v>
      </x:c>
      <x:c r="F4" s="13" t="str">
        <x:v>验收方式</x:v>
      </x:c>
      <x:c r="G4" s="13" t="str">
        <x:v>文件位置</x:v>
      </x:c>
      <x:c r="H4" s="13" t="str">
        <x:v>开始日期</x:v>
      </x:c>
      <x:c r="I4" s="13" t="str">
        <x:v>截止日期</x:v>
      </x:c>
      <x:c r="J4" s="13" t="str">
        <x:v>状态</x:v>
      </x:c>
      <x:c r="K4" s="13" t="str">
        <x:v>复核意见</x:v>
      </x:c>
    </x:row>
    <x:row r="5">
      <x:c r="A5" s="21" t="str">
        <x:v>专业深度</x:v>
      </x:c>
      <x:c r="B5" s="21" t="str">
        <x:v>P-01</x:v>
      </x:c>
      <x:c r="C5" s="21" t="str">
        <x:v>专业问题和边界真实</x:v>
      </x:c>
      <x:c r="D5" s="21" t="str">
        <x:v>专业规则／准则来源表</x:v>
      </x:c>
      <x:c r="E5" s="21" t="str">
        <x:v>A</x:v>
      </x:c>
      <x:c r="F5" s="21" t="str">
        <x:v>老师抽查3条逻辑</x:v>
      </x:c>
      <x:c r="G5" s="21" t="str"/>
      <x:c r="H5" s="33"/>
      <x:c r="I5" s="33"/>
      <x:c r="J5" s="21" t="str">
        <x:v>待开始</x:v>
      </x:c>
      <x:c r="K5" s="21" t="str"/>
    </x:row>
    <x:row r="6">
      <x:c r="A6" s="22" t="str">
        <x:v>专业深度</x:v>
      </x:c>
      <x:c r="B6" s="22" t="str">
        <x:v>P-02</x:v>
      </x:c>
      <x:c r="C6" s="22" t="str">
        <x:v>输出能指导下一步</x:v>
      </x:c>
      <x:c r="D6" s="22" t="str">
        <x:v>风险／决策任务卡模板</x:v>
      </x:c>
      <x:c r="E6" s="22" t="str">
        <x:v>A</x:v>
      </x:c>
      <x:c r="F6" s="22" t="str">
        <x:v>每条含依据、计算和行动</x:v>
      </x:c>
      <x:c r="G6" s="22" t="str"/>
      <x:c r="H6" s="34"/>
      <x:c r="I6" s="34"/>
      <x:c r="J6" s="22" t="str">
        <x:v>待开始</x:v>
      </x:c>
      <x:c r="K6" s="22" t="str"/>
    </x:row>
    <x:row r="7">
      <x:c r="A7" s="22" t="str">
        <x:v>专业深度</x:v>
      </x:c>
      <x:c r="B7" s="22" t="str">
        <x:v>P-03</x:v>
      </x:c>
      <x:c r="C7" s="22" t="str">
        <x:v>不会把线索写成定论</x:v>
      </x:c>
      <x:c r="D7" s="22" t="str">
        <x:v>措辞边界与人工复核表</x:v>
      </x:c>
      <x:c r="E7" s="22" t="str">
        <x:v>A</x:v>
      </x:c>
      <x:c r="F7" s="22" t="str">
        <x:v>无不当定性</x:v>
      </x:c>
      <x:c r="G7" s="22" t="str"/>
      <x:c r="H7" s="34"/>
      <x:c r="I7" s="34"/>
      <x:c r="J7" s="22" t="str">
        <x:v>待开始</x:v>
      </x:c>
      <x:c r="K7" s="22" t="str"/>
    </x:row>
    <x:row r="8">
      <x:c r="A8" s="22" t="str">
        <x:v>技术创新</x:v>
      </x:c>
      <x:c r="B8" s="22" t="str">
        <x:v>T-01</x:v>
      </x:c>
      <x:c r="C8" s="22" t="str">
        <x:v>AI工作流真实分步运行</x:v>
      </x:c>
      <x:c r="D8" s="22" t="str">
        <x:v>Coze节点图、输入输出与日志</x:v>
      </x:c>
      <x:c r="E8" s="22" t="str">
        <x:v>队长</x:v>
      </x:c>
      <x:c r="F8" s="22" t="str">
        <x:v>现场能查看节点传递</x:v>
      </x:c>
      <x:c r="G8" s="22" t="str"/>
      <x:c r="H8" s="34"/>
      <x:c r="I8" s="34"/>
      <x:c r="J8" s="22" t="str">
        <x:v>待开始</x:v>
      </x:c>
      <x:c r="K8" s="22" t="str"/>
    </x:row>
    <x:row r="9">
      <x:c r="A9" s="22" t="str">
        <x:v>技术创新</x:v>
      </x:c>
      <x:c r="B9" s="22" t="str">
        <x:v>T-02</x:v>
      </x:c>
      <x:c r="C9" s="22" t="str">
        <x:v>AI会被证据门槛约束</x:v>
      </x:c>
      <x:c r="D9" s="22" t="str">
        <x:v>被拦截案例和退回原因</x:v>
      </x:c>
      <x:c r="E9" s="22" t="str">
        <x:v>队长</x:v>
      </x:c>
      <x:c r="F9" s="22" t="str">
        <x:v>缺来源／页码结果不能导出</x:v>
      </x:c>
      <x:c r="G9" s="22" t="str"/>
      <x:c r="H9" s="34"/>
      <x:c r="I9" s="34"/>
      <x:c r="J9" s="22" t="str">
        <x:v>待开始</x:v>
      </x:c>
      <x:c r="K9" s="22" t="str"/>
    </x:row>
    <x:row r="10">
      <x:c r="A10" s="22" t="str">
        <x:v>技术创新</x:v>
      </x:c>
      <x:c r="B10" s="22" t="str">
        <x:v>T-03</x:v>
      </x:c>
      <x:c r="C10" s="22" t="str">
        <x:v>Vibe Coding不是口号</x:v>
      </x:c>
      <x:c r="D10" s="22" t="str">
        <x:v>需求—生成—检查—修复记录</x:v>
      </x:c>
      <x:c r="E10" s="22" t="str">
        <x:v>队长</x:v>
      </x:c>
      <x:c r="F10" s="22" t="str">
        <x:v>至少一条完整迭代链</x:v>
      </x:c>
      <x:c r="G10" s="22" t="str"/>
      <x:c r="H10" s="34"/>
      <x:c r="I10" s="34"/>
      <x:c r="J10" s="22" t="str">
        <x:v>待开始</x:v>
      </x:c>
      <x:c r="K10" s="22" t="str"/>
    </x:row>
    <x:row r="11">
      <x:c r="A11" s="22" t="str">
        <x:v>落地可行</x:v>
      </x:c>
      <x:c r="B11" s="22" t="str">
        <x:v>F-01</x:v>
      </x:c>
      <x:c r="C11" s="22" t="str">
        <x:v>MVP范围可控</x:v>
      </x:c>
      <x:c r="D11" s="22" t="str">
        <x:v>行业、输入、功能与不做清单</x:v>
      </x:c>
      <x:c r="E11" s="22" t="str">
        <x:v>队长</x:v>
      </x:c>
      <x:c r="F11" s="22" t="str">
        <x:v>4周内可完成闭环</x:v>
      </x:c>
      <x:c r="G11" s="22" t="str"/>
      <x:c r="H11" s="34"/>
      <x:c r="I11" s="34"/>
      <x:c r="J11" s="22" t="str">
        <x:v>待开始</x:v>
      </x:c>
      <x:c r="K11" s="22" t="str"/>
    </x:row>
    <x:row r="12">
      <x:c r="A12" s="22" t="str">
        <x:v>落地可行</x:v>
      </x:c>
      <x:c r="B12" s="22" t="str">
        <x:v>F-02</x:v>
      </x:c>
      <x:c r="C12" s="22" t="str">
        <x:v>真实用户能操作</x:v>
      </x:c>
      <x:c r="D12" s="22" t="str">
        <x:v>3人试用记录与修改前后截图</x:v>
      </x:c>
      <x:c r="E12" s="22" t="str">
        <x:v>C</x:v>
      </x:c>
      <x:c r="F12" s="22" t="str">
        <x:v>关键任务可独立完成</x:v>
      </x:c>
      <x:c r="G12" s="22" t="str"/>
      <x:c r="H12" s="34"/>
      <x:c r="I12" s="34"/>
      <x:c r="J12" s="22" t="str">
        <x:v>待开始</x:v>
      </x:c>
      <x:c r="K12" s="22" t="str"/>
    </x:row>
    <x:row r="13">
      <x:c r="A13" s="22" t="str">
        <x:v>落地可行</x:v>
      </x:c>
      <x:c r="B13" s="22" t="str">
        <x:v>F-03</x:v>
      </x:c>
      <x:c r="C13" s="22" t="str">
        <x:v>现场故障有备用</x:v>
      </x:c>
      <x:c r="D13" s="22" t="str">
        <x:v>启动说明、缓存案例、备用录屏</x:v>
      </x:c>
      <x:c r="E13" s="22" t="str">
        <x:v>队长＋C</x:v>
      </x:c>
      <x:c r="F13" s="22" t="str">
        <x:v>另一台电脑复现</x:v>
      </x:c>
      <x:c r="G13" s="22" t="str"/>
      <x:c r="H13" s="34"/>
      <x:c r="I13" s="34"/>
      <x:c r="J13" s="22" t="str">
        <x:v>待开始</x:v>
      </x:c>
      <x:c r="K13" s="22" t="str"/>
    </x:row>
    <x:row r="14">
      <x:c r="A14" s="22" t="str">
        <x:v>效果评估</x:v>
      </x:c>
      <x:c r="B14" s="22" t="str">
        <x:v>E-01</x:v>
      </x:c>
      <x:c r="C14" s="22" t="str">
        <x:v>系统确实比普通办法更好</x:v>
      </x:c>
      <x:c r="D14" s="22" t="str">
        <x:v>人工参考、基线与对比表</x:v>
      </x:c>
      <x:c r="E14" s="22" t="str">
        <x:v>B</x:v>
      </x:c>
      <x:c r="F14" s="22" t="str">
        <x:v>同案例、同输入、同指标</x:v>
      </x:c>
      <x:c r="G14" s="22" t="str"/>
      <x:c r="H14" s="34"/>
      <x:c r="I14" s="34"/>
      <x:c r="J14" s="22" t="str">
        <x:v>待开始</x:v>
      </x:c>
      <x:c r="K14" s="22" t="str"/>
    </x:row>
    <x:row r="15">
      <x:c r="A15" s="22" t="str">
        <x:v>效果评估</x:v>
      </x:c>
      <x:c r="B15" s="22" t="str">
        <x:v>E-02</x:v>
      </x:c>
      <x:c r="C15" s="22" t="str">
        <x:v>结果有依据且少乱说</x:v>
      </x:c>
      <x:c r="D15" s="22" t="str">
        <x:v>覆盖、引用、无依据结论统计</x:v>
      </x:c>
      <x:c r="E15" s="22" t="str">
        <x:v>B＋A</x:v>
      </x:c>
      <x:c r="F15" s="22" t="str">
        <x:v>报告原始分子／分母</x:v>
      </x:c>
      <x:c r="G15" s="22" t="str"/>
      <x:c r="H15" s="34"/>
      <x:c r="I15" s="34"/>
      <x:c r="J15" s="22" t="str">
        <x:v>待开始</x:v>
      </x:c>
      <x:c r="K15" s="22" t="str"/>
    </x:row>
    <x:row r="16">
      <x:c r="A16" s="22" t="str">
        <x:v>效果评估</x:v>
      </x:c>
      <x:c r="B16" s="22" t="str">
        <x:v>E-03</x:v>
      </x:c>
      <x:c r="C16" s="22" t="str">
        <x:v>失败也被如实记录</x:v>
      </x:c>
      <x:c r="D16" s="22" t="str">
        <x:v>失败案例、错误类型和复测</x:v>
      </x:c>
      <x:c r="E16" s="22" t="str">
        <x:v>B</x:v>
      </x:c>
      <x:c r="F16" s="22" t="str">
        <x:v>至少1个失败案例</x:v>
      </x:c>
      <x:c r="G16" s="22" t="str"/>
      <x:c r="H16" s="34"/>
      <x:c r="I16" s="34"/>
      <x:c r="J16" s="22" t="str">
        <x:v>待开始</x:v>
      </x:c>
      <x:c r="K16" s="22" t="str"/>
    </x:row>
    <x:row r="17">
      <x:c r="A17" s="22" t="str">
        <x:v>文档展示</x:v>
      </x:c>
      <x:c r="B17" s="22" t="str">
        <x:v>D-01</x:v>
      </x:c>
      <x:c r="C17" s="22" t="str">
        <x:v>一条案例讲完整闭环</x:v>
      </x:c>
      <x:c r="D17" s="22" t="str">
        <x:v>演示脚本与完整截图</x:v>
      </x:c>
      <x:c r="E17" s="22" t="str">
        <x:v>C</x:v>
      </x:c>
      <x:c r="F17" s="22" t="str">
        <x:v>3分钟内讲清</x:v>
      </x:c>
      <x:c r="G17" s="22" t="str"/>
      <x:c r="H17" s="34"/>
      <x:c r="I17" s="34"/>
      <x:c r="J17" s="22" t="str">
        <x:v>待开始</x:v>
      </x:c>
      <x:c r="K17" s="22" t="str"/>
    </x:row>
    <x:row r="18">
      <x:c r="A18" s="22" t="str">
        <x:v>文档展示</x:v>
      </x:c>
      <x:c r="B18" s="22" t="str">
        <x:v>D-02</x:v>
      </x:c>
      <x:c r="C18" s="22" t="str">
        <x:v>计划书、PPT、视频口径一致</x:v>
      </x:c>
      <x:c r="D18" s="22" t="str">
        <x:v>数字／名称／截图核对表</x:v>
      </x:c>
      <x:c r="E18" s="22" t="str">
        <x:v>C</x:v>
      </x:c>
      <x:c r="F18" s="22" t="str">
        <x:v>无矛盾和旧版本截图</x:v>
      </x:c>
      <x:c r="G18" s="22" t="str"/>
      <x:c r="H18" s="34"/>
      <x:c r="I18" s="34"/>
      <x:c r="J18" s="22" t="str">
        <x:v>待开始</x:v>
      </x:c>
      <x:c r="K18" s="22" t="str"/>
    </x:row>
    <x:row r="19">
      <x:c r="A19" s="22" t="str">
        <x:v>文档展示</x:v>
      </x:c>
      <x:c r="B19" s="22" t="str">
        <x:v>D-03</x:v>
      </x:c>
      <x:c r="C19" s="22" t="str">
        <x:v>四人贡献可见</x:v>
      </x:c>
      <x:c r="D19" s="22" t="str">
        <x:v>分工、素材登记和出镜时间</x:v>
      </x:c>
      <x:c r="E19" s="22" t="str">
        <x:v>C＋队长</x:v>
      </x:c>
      <x:c r="F19" s="22" t="str">
        <x:v>每人有具体成果</x:v>
      </x:c>
      <x:c r="G19" s="22" t="str"/>
      <x:c r="H19" s="34"/>
      <x:c r="I19" s="34"/>
      <x:c r="J19" s="22" t="str">
        <x:v>待开始</x:v>
      </x:c>
      <x:c r="K19" s="22" t="str"/>
    </x:row>
    <x:row r="20">
      <x:c r="A20" s="22"/>
      <x:c r="B20" s="22"/>
      <x:c r="C20" s="22"/>
      <x:c r="D20" s="22"/>
      <x:c r="E20" s="22"/>
      <x:c r="F20" s="22"/>
      <x:c r="G20" s="22"/>
      <x:c r="H20" s="34"/>
      <x:c r="I20" s="34"/>
      <x:c r="J20" s="22"/>
      <x:c r="K20" s="22"/>
    </x:row>
    <x:row r="21">
      <x:c r="A21" s="22"/>
      <x:c r="B21" s="22"/>
      <x:c r="C21" s="22"/>
      <x:c r="D21" s="22"/>
      <x:c r="E21" s="22"/>
      <x:c r="F21" s="22"/>
      <x:c r="G21" s="22"/>
      <x:c r="H21" s="34"/>
      <x:c r="I21" s="34"/>
      <x:c r="J21" s="22"/>
      <x:c r="K21" s="22"/>
    </x:row>
    <x:row r="22">
      <x:c r="A22" s="22"/>
      <x:c r="B22" s="22"/>
      <x:c r="C22" s="22"/>
      <x:c r="D22" s="22"/>
      <x:c r="E22" s="22"/>
      <x:c r="F22" s="22"/>
      <x:c r="G22" s="22"/>
      <x:c r="H22" s="34"/>
      <x:c r="I22" s="34"/>
      <x:c r="J22" s="22"/>
      <x:c r="K22" s="22"/>
    </x:row>
    <x:row r="23">
      <x:c r="A23" s="22"/>
      <x:c r="B23" s="22"/>
      <x:c r="C23" s="22"/>
      <x:c r="D23" s="22"/>
      <x:c r="E23" s="22"/>
      <x:c r="F23" s="22"/>
      <x:c r="G23" s="22"/>
      <x:c r="H23" s="34"/>
      <x:c r="I23" s="34"/>
      <x:c r="J23" s="22"/>
      <x:c r="K23" s="22"/>
    </x:row>
    <x:row r="24">
      <x:c r="A24" s="22"/>
      <x:c r="B24" s="22"/>
      <x:c r="C24" s="22"/>
      <x:c r="D24" s="22"/>
      <x:c r="E24" s="22"/>
      <x:c r="F24" s="22"/>
      <x:c r="G24" s="22"/>
      <x:c r="H24" s="34"/>
      <x:c r="I24" s="34"/>
      <x:c r="J24" s="22"/>
      <x:c r="K24" s="22"/>
    </x:row>
    <x:row r="25">
      <x:c r="A25" s="22"/>
      <x:c r="B25" s="22"/>
      <x:c r="C25" s="22"/>
      <x:c r="D25" s="22"/>
      <x:c r="E25" s="22"/>
      <x:c r="F25" s="22"/>
      <x:c r="G25" s="22"/>
      <x:c r="H25" s="34"/>
      <x:c r="I25" s="34"/>
      <x:c r="J25" s="22"/>
      <x:c r="K25" s="22"/>
    </x:row>
    <x:row r="26">
      <x:c r="A26" s="22"/>
      <x:c r="B26" s="22"/>
      <x:c r="C26" s="22"/>
      <x:c r="D26" s="22"/>
      <x:c r="E26" s="22"/>
      <x:c r="F26" s="22"/>
      <x:c r="G26" s="22"/>
      <x:c r="H26" s="34"/>
      <x:c r="I26" s="34"/>
      <x:c r="J26" s="22"/>
      <x:c r="K26" s="22"/>
    </x:row>
    <x:row r="27">
      <x:c r="A27" s="22"/>
      <x:c r="B27" s="22"/>
      <x:c r="C27" s="22"/>
      <x:c r="D27" s="22"/>
      <x:c r="E27" s="22"/>
      <x:c r="F27" s="22"/>
      <x:c r="G27" s="22"/>
      <x:c r="H27" s="34"/>
      <x:c r="I27" s="34"/>
      <x:c r="J27" s="22"/>
      <x:c r="K27" s="22"/>
    </x:row>
    <x:row r="28">
      <x:c r="A28" s="22"/>
      <x:c r="B28" s="22"/>
      <x:c r="C28" s="22"/>
      <x:c r="D28" s="22"/>
      <x:c r="E28" s="22"/>
      <x:c r="F28" s="22"/>
      <x:c r="G28" s="22"/>
      <x:c r="H28" s="34"/>
      <x:c r="I28" s="34"/>
      <x:c r="J28" s="22"/>
      <x:c r="K28" s="22"/>
    </x:row>
    <x:row r="29">
      <x:c r="A29" s="22"/>
      <x:c r="B29" s="22"/>
      <x:c r="C29" s="22"/>
      <x:c r="D29" s="22"/>
      <x:c r="E29" s="22"/>
      <x:c r="F29" s="22"/>
      <x:c r="G29" s="22"/>
      <x:c r="H29" s="34"/>
      <x:c r="I29" s="34"/>
      <x:c r="J29" s="22"/>
      <x:c r="K29" s="22"/>
    </x:row>
    <x:row r="30">
      <x:c r="A30" s="22"/>
      <x:c r="B30" s="22"/>
      <x:c r="C30" s="22"/>
      <x:c r="D30" s="22"/>
      <x:c r="E30" s="22"/>
      <x:c r="F30" s="22"/>
      <x:c r="G30" s="22"/>
      <x:c r="H30" s="34"/>
      <x:c r="I30" s="34"/>
      <x:c r="J30" s="22"/>
      <x:c r="K30" s="22"/>
    </x:row>
  </x:sheetData>
  <x:mergeCells>
    <x:mergeCell ref="A1:K1"/>
    <x:mergeCell ref="A2:K2"/>
  </x:mergeCells>
  <x:conditionalFormatting sqref="J5:J30">
    <x:cfRule type="containsText" dxfId="4" priority="1" operator="containsText" text="已完成"/>
    <x:cfRule type="containsText" dxfId="5" priority="2" operator="containsText" text="阻塞"/>
    <x:cfRule type="containsText" dxfId="6" priority="3" operator="containsText" text="待"/>
  </x:conditionalFormatting>
  <x:dataValidations count="1">
    <x:dataValidation type="list" sqref="J5:J30">
      <x:formula1>"待开始,进行中,待复核,已完成,阻塞"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6" hidden="0" customWidth="1"/>
    <x:col min="4" max="4" width="34" hidden="0" customWidth="1"/>
    <x:col min="5" max="5" width="22" hidden="0" customWidth="1"/>
    <x:col min="6" max="6" width="9" hidden="0" customWidth="1"/>
    <x:col min="7" max="7" width="13" hidden="0" customWidth="1"/>
    <x:col min="8" max="8" width="13" hidden="0" customWidth="1"/>
    <x:col min="9" max="9" width="36" hidden="0" customWidth="1"/>
    <x:col min="10" max="10" width="30" hidden="0" customWidth="1"/>
    <x:col min="11" max="11" width="20" hidden="0" customWidth="1"/>
    <x:col min="12" max="12" width="26" hidden="0" customWidth="1"/>
    <x:col min="13" max="13" width="15" hidden="0" customWidth="1"/>
    <x:col min="14" max="14" width="12" hidden="0" customWidth="1"/>
    <x:col min="15" max="15" width="13" hidden="0" customWidth="1"/>
    <x:col min="16" max="16" width="28" hidden="0" customWidth="1"/>
  </x:cols>
  <x:sheetData>
    <x:row r="1" ht="34" customHeight="1">
      <x:c r="A1" s="3" t="str">
        <x:v>资料来源与数据合规台账</x:v>
      </x:c>
      <x:c r="B1" s="3" t="str">
        <x:v>资料来源与数据合规台账</x:v>
      </x:c>
      <x:c r="C1" s="3" t="str">
        <x:v>资料来源与数据合规台账</x:v>
      </x:c>
      <x:c r="D1" s="3" t="str">
        <x:v>资料来源与数据合规台账</x:v>
      </x:c>
      <x:c r="E1" s="3" t="str">
        <x:v>资料来源与数据合规台账</x:v>
      </x:c>
      <x:c r="F1" s="3" t="str">
        <x:v>资料来源与数据合规台账</x:v>
      </x:c>
      <x:c r="G1" s="3" t="str">
        <x:v>资料来源与数据合规台账</x:v>
      </x:c>
      <x:c r="H1" s="3" t="str">
        <x:v>资料来源与数据合规台账</x:v>
      </x:c>
      <x:c r="I1" s="3" t="str">
        <x:v>资料来源与数据合规台账</x:v>
      </x:c>
      <x:c r="J1" s="3" t="str">
        <x:v>资料来源与数据合规台账</x:v>
      </x:c>
      <x:c r="K1" s="3" t="str">
        <x:v>资料来源与数据合规台账</x:v>
      </x:c>
      <x:c r="L1" s="3" t="str">
        <x:v>资料来源与数据合规台账</x:v>
      </x:c>
      <x:c r="M1" s="3" t="str">
        <x:v>资料来源与数据合规台账</x:v>
      </x:c>
      <x:c r="N1" s="3" t="str">
        <x:v>资料来源与数据合规台账</x:v>
      </x:c>
      <x:c r="O1" s="3" t="str">
        <x:v>资料来源与数据合规台账</x:v>
      </x:c>
      <x:c r="P1" s="3" t="str">
        <x:v>资料来源与数据合规台账</x:v>
      </x:c>
    </x:row>
    <x:row r="2" ht="30" customHeight="1">
      <x:c r="A2" s="7" t="str">
        <x:v>找到材料就登记；来源、发布日期、下载日期、文件和页码缺一不可。黄色区域为待填写模板。</x:v>
      </x:c>
      <x:c r="B2" s="7" t="str">
        <x:v>找到材料就登记；来源、发布日期、下载日期、文件和页码缺一不可。黄色区域为待填写模板。</x:v>
      </x:c>
      <x:c r="C2" s="7" t="str">
        <x:v>找到材料就登记；来源、发布日期、下载日期、文件和页码缺一不可。黄色区域为待填写模板。</x:v>
      </x:c>
      <x:c r="D2" s="7" t="str">
        <x:v>找到材料就登记；来源、发布日期、下载日期、文件和页码缺一不可。黄色区域为待填写模板。</x:v>
      </x:c>
      <x:c r="E2" s="7" t="str">
        <x:v>找到材料就登记；来源、发布日期、下载日期、文件和页码缺一不可。黄色区域为待填写模板。</x:v>
      </x:c>
      <x:c r="F2" s="7" t="str">
        <x:v>找到材料就登记；来源、发布日期、下载日期、文件和页码缺一不可。黄色区域为待填写模板。</x:v>
      </x:c>
      <x:c r="G2" s="7" t="str">
        <x:v>找到材料就登记；来源、发布日期、下载日期、文件和页码缺一不可。黄色区域为待填写模板。</x:v>
      </x:c>
      <x:c r="H2" s="7" t="str">
        <x:v>找到材料就登记；来源、发布日期、下载日期、文件和页码缺一不可。黄色区域为待填写模板。</x:v>
      </x:c>
      <x:c r="I2" s="7" t="str">
        <x:v>找到材料就登记；来源、发布日期、下载日期、文件和页码缺一不可。黄色区域为待填写模板。</x:v>
      </x:c>
      <x:c r="J2" s="7" t="str">
        <x:v>找到材料就登记；来源、发布日期、下载日期、文件和页码缺一不可。黄色区域为待填写模板。</x:v>
      </x:c>
      <x:c r="K2" s="7" t="str">
        <x:v>找到材料就登记；来源、发布日期、下载日期、文件和页码缺一不可。黄色区域为待填写模板。</x:v>
      </x:c>
      <x:c r="L2" s="7" t="str">
        <x:v>找到材料就登记；来源、发布日期、下载日期、文件和页码缺一不可。黄色区域为待填写模板。</x:v>
      </x:c>
      <x:c r="M2" s="7" t="str">
        <x:v>找到材料就登记；来源、发布日期、下载日期、文件和页码缺一不可。黄色区域为待填写模板。</x:v>
      </x:c>
      <x:c r="N2" s="7" t="str">
        <x:v>找到材料就登记；来源、发布日期、下载日期、文件和页码缺一不可。黄色区域为待填写模板。</x:v>
      </x:c>
      <x:c r="O2" s="7" t="str">
        <x:v>找到材料就登记；来源、发布日期、下载日期、文件和页码缺一不可。黄色区域为待填写模板。</x:v>
      </x:c>
      <x:c r="P2" s="7" t="str">
        <x:v>找到材料就登记；来源、发布日期、下载日期、文件和页码缺一不可。黄色区域为待填写模板。</x:v>
      </x:c>
    </x:row>
    <x:row r="4" ht="31" customHeight="1">
      <x:c r="A4" s="13" t="str">
        <x:v>资料ID</x:v>
      </x:c>
      <x:c r="B4" s="13" t="str">
        <x:v>候选题</x:v>
      </x:c>
      <x:c r="C4" s="13" t="str">
        <x:v>资料类型</x:v>
      </x:c>
      <x:c r="D4" s="13" t="str">
        <x:v>资料名称</x:v>
      </x:c>
      <x:c r="E4" s="13" t="str">
        <x:v>发布单位／公司</x:v>
      </x:c>
      <x:c r="F4" s="13" t="str">
        <x:v>年度</x:v>
      </x:c>
      <x:c r="G4" s="13" t="str">
        <x:v>发布日期</x:v>
      </x:c>
      <x:c r="H4" s="13" t="str">
        <x:v>访问日期</x:v>
      </x:c>
      <x:c r="I4" s="13" t="str">
        <x:v>URL</x:v>
      </x:c>
      <x:c r="J4" s="13" t="str">
        <x:v>本地文件名</x:v>
      </x:c>
      <x:c r="K4" s="13" t="str">
        <x:v>关键页码／字段</x:v>
      </x:c>
      <x:c r="L4" s="13" t="str">
        <x:v>用途</x:v>
      </x:c>
      <x:c r="M4" s="13" t="str">
        <x:v>公开／授权</x:v>
      </x:c>
      <x:c r="N4" s="13" t="str">
        <x:v>核验人</x:v>
      </x:c>
      <x:c r="O4" s="13" t="str">
        <x:v>状态</x:v>
      </x:c>
      <x:c r="P4" s="13" t="str">
        <x:v>备注</x:v>
      </x:c>
    </x:row>
    <x:row r="5">
      <x:c r="A5" s="43"/>
      <x:c r="B5" s="43"/>
      <x:c r="C5" s="43"/>
      <x:c r="D5" s="43"/>
      <x:c r="E5" s="43"/>
      <x:c r="F5" s="43"/>
      <x:c r="G5" s="44"/>
      <x:c r="H5" s="44"/>
      <x:c r="I5" s="43"/>
      <x:c r="J5" s="43"/>
      <x:c r="K5" s="43"/>
      <x:c r="L5" s="43"/>
      <x:c r="M5" s="43"/>
      <x:c r="N5" s="43"/>
      <x:c r="O5" s="43"/>
      <x:c r="P5" s="43"/>
    </x:row>
    <x:row r="6">
      <x:c r="A6" s="29"/>
      <x:c r="B6" s="29"/>
      <x:c r="C6" s="29"/>
      <x:c r="D6" s="29"/>
      <x:c r="E6" s="29"/>
      <x:c r="F6" s="29"/>
      <x:c r="G6" s="45"/>
      <x:c r="H6" s="45"/>
      <x:c r="I6" s="29"/>
      <x:c r="J6" s="29"/>
      <x:c r="K6" s="29"/>
      <x:c r="L6" s="29"/>
      <x:c r="M6" s="29"/>
      <x:c r="N6" s="29"/>
      <x:c r="O6" s="29"/>
      <x:c r="P6" s="29"/>
    </x:row>
    <x:row r="7">
      <x:c r="A7" s="29"/>
      <x:c r="B7" s="29"/>
      <x:c r="C7" s="29"/>
      <x:c r="D7" s="29"/>
      <x:c r="E7" s="29"/>
      <x:c r="F7" s="29"/>
      <x:c r="G7" s="45"/>
      <x:c r="H7" s="45"/>
      <x:c r="I7" s="29"/>
      <x:c r="J7" s="29"/>
      <x:c r="K7" s="29"/>
      <x:c r="L7" s="29"/>
      <x:c r="M7" s="29"/>
      <x:c r="N7" s="29"/>
      <x:c r="O7" s="29"/>
      <x:c r="P7" s="29"/>
    </x:row>
    <x:row r="8">
      <x:c r="A8" s="29"/>
      <x:c r="B8" s="29"/>
      <x:c r="C8" s="29"/>
      <x:c r="D8" s="29"/>
      <x:c r="E8" s="29"/>
      <x:c r="F8" s="29"/>
      <x:c r="G8" s="45"/>
      <x:c r="H8" s="45"/>
      <x:c r="I8" s="29"/>
      <x:c r="J8" s="29"/>
      <x:c r="K8" s="29"/>
      <x:c r="L8" s="29"/>
      <x:c r="M8" s="29"/>
      <x:c r="N8" s="29"/>
      <x:c r="O8" s="29"/>
      <x:c r="P8" s="29"/>
    </x:row>
    <x:row r="9">
      <x:c r="A9" s="29"/>
      <x:c r="B9" s="29"/>
      <x:c r="C9" s="29"/>
      <x:c r="D9" s="29"/>
      <x:c r="E9" s="29"/>
      <x:c r="F9" s="29"/>
      <x:c r="G9" s="45"/>
      <x:c r="H9" s="45"/>
      <x:c r="I9" s="29"/>
      <x:c r="J9" s="29"/>
      <x:c r="K9" s="29"/>
      <x:c r="L9" s="29"/>
      <x:c r="M9" s="29"/>
      <x:c r="N9" s="29"/>
      <x:c r="O9" s="29"/>
      <x:c r="P9" s="29"/>
    </x:row>
    <x:row r="10">
      <x:c r="A10" s="29"/>
      <x:c r="B10" s="29"/>
      <x:c r="C10" s="29"/>
      <x:c r="D10" s="29"/>
      <x:c r="E10" s="29"/>
      <x:c r="F10" s="29"/>
      <x:c r="G10" s="45"/>
      <x:c r="H10" s="45"/>
      <x:c r="I10" s="29"/>
      <x:c r="J10" s="29"/>
      <x:c r="K10" s="29"/>
      <x:c r="L10" s="29"/>
      <x:c r="M10" s="29"/>
      <x:c r="N10" s="29"/>
      <x:c r="O10" s="29"/>
      <x:c r="P10" s="29"/>
    </x:row>
    <x:row r="11">
      <x:c r="A11" s="29"/>
      <x:c r="B11" s="29"/>
      <x:c r="C11" s="29"/>
      <x:c r="D11" s="29"/>
      <x:c r="E11" s="29"/>
      <x:c r="F11" s="29"/>
      <x:c r="G11" s="45"/>
      <x:c r="H11" s="45"/>
      <x:c r="I11" s="29"/>
      <x:c r="J11" s="29"/>
      <x:c r="K11" s="29"/>
      <x:c r="L11" s="29"/>
      <x:c r="M11" s="29"/>
      <x:c r="N11" s="29"/>
      <x:c r="O11" s="29"/>
      <x:c r="P11" s="29"/>
    </x:row>
    <x:row r="12">
      <x:c r="A12" s="29"/>
      <x:c r="B12" s="29"/>
      <x:c r="C12" s="29"/>
      <x:c r="D12" s="29"/>
      <x:c r="E12" s="29"/>
      <x:c r="F12" s="29"/>
      <x:c r="G12" s="45"/>
      <x:c r="H12" s="45"/>
      <x:c r="I12" s="29"/>
      <x:c r="J12" s="29"/>
      <x:c r="K12" s="29"/>
      <x:c r="L12" s="29"/>
      <x:c r="M12" s="29"/>
      <x:c r="N12" s="29"/>
      <x:c r="O12" s="29"/>
      <x:c r="P12" s="29"/>
    </x:row>
    <x:row r="13">
      <x:c r="A13" s="29"/>
      <x:c r="B13" s="29"/>
      <x:c r="C13" s="29"/>
      <x:c r="D13" s="29"/>
      <x:c r="E13" s="29"/>
      <x:c r="F13" s="29"/>
      <x:c r="G13" s="45"/>
      <x:c r="H13" s="45"/>
      <x:c r="I13" s="29"/>
      <x:c r="J13" s="29"/>
      <x:c r="K13" s="29"/>
      <x:c r="L13" s="29"/>
      <x:c r="M13" s="29"/>
      <x:c r="N13" s="29"/>
      <x:c r="O13" s="29"/>
      <x:c r="P13" s="29"/>
    </x:row>
    <x:row r="14">
      <x:c r="A14" s="29"/>
      <x:c r="B14" s="29"/>
      <x:c r="C14" s="29"/>
      <x:c r="D14" s="29"/>
      <x:c r="E14" s="29"/>
      <x:c r="F14" s="29"/>
      <x:c r="G14" s="45"/>
      <x:c r="H14" s="45"/>
      <x:c r="I14" s="29"/>
      <x:c r="J14" s="29"/>
      <x:c r="K14" s="29"/>
      <x:c r="L14" s="29"/>
      <x:c r="M14" s="29"/>
      <x:c r="N14" s="29"/>
      <x:c r="O14" s="29"/>
      <x:c r="P14" s="29"/>
    </x:row>
    <x:row r="15">
      <x:c r="A15" s="29"/>
      <x:c r="B15" s="29"/>
      <x:c r="C15" s="29"/>
      <x:c r="D15" s="29"/>
      <x:c r="E15" s="29"/>
      <x:c r="F15" s="29"/>
      <x:c r="G15" s="45"/>
      <x:c r="H15" s="45"/>
      <x:c r="I15" s="29"/>
      <x:c r="J15" s="29"/>
      <x:c r="K15" s="29"/>
      <x:c r="L15" s="29"/>
      <x:c r="M15" s="29"/>
      <x:c r="N15" s="29"/>
      <x:c r="O15" s="29"/>
      <x:c r="P15" s="29"/>
    </x:row>
    <x:row r="16">
      <x:c r="A16" s="29"/>
      <x:c r="B16" s="29"/>
      <x:c r="C16" s="29"/>
      <x:c r="D16" s="29"/>
      <x:c r="E16" s="29"/>
      <x:c r="F16" s="29"/>
      <x:c r="G16" s="45"/>
      <x:c r="H16" s="45"/>
      <x:c r="I16" s="29"/>
      <x:c r="J16" s="29"/>
      <x:c r="K16" s="29"/>
      <x:c r="L16" s="29"/>
      <x:c r="M16" s="29"/>
      <x:c r="N16" s="29"/>
      <x:c r="O16" s="29"/>
      <x:c r="P16" s="29"/>
    </x:row>
    <x:row r="17">
      <x:c r="A17" s="29"/>
      <x:c r="B17" s="29"/>
      <x:c r="C17" s="29"/>
      <x:c r="D17" s="29"/>
      <x:c r="E17" s="29"/>
      <x:c r="F17" s="29"/>
      <x:c r="G17" s="45"/>
      <x:c r="H17" s="45"/>
      <x:c r="I17" s="29"/>
      <x:c r="J17" s="29"/>
      <x:c r="K17" s="29"/>
      <x:c r="L17" s="29"/>
      <x:c r="M17" s="29"/>
      <x:c r="N17" s="29"/>
      <x:c r="O17" s="29"/>
      <x:c r="P17" s="29"/>
    </x:row>
    <x:row r="18">
      <x:c r="A18" s="29"/>
      <x:c r="B18" s="29"/>
      <x:c r="C18" s="29"/>
      <x:c r="D18" s="29"/>
      <x:c r="E18" s="29"/>
      <x:c r="F18" s="29"/>
      <x:c r="G18" s="45"/>
      <x:c r="H18" s="45"/>
      <x:c r="I18" s="29"/>
      <x:c r="J18" s="29"/>
      <x:c r="K18" s="29"/>
      <x:c r="L18" s="29"/>
      <x:c r="M18" s="29"/>
      <x:c r="N18" s="29"/>
      <x:c r="O18" s="29"/>
      <x:c r="P18" s="29"/>
    </x:row>
    <x:row r="19">
      <x:c r="A19" s="29"/>
      <x:c r="B19" s="29"/>
      <x:c r="C19" s="29"/>
      <x:c r="D19" s="29"/>
      <x:c r="E19" s="29"/>
      <x:c r="F19" s="29"/>
      <x:c r="G19" s="45"/>
      <x:c r="H19" s="45"/>
      <x:c r="I19" s="29"/>
      <x:c r="J19" s="29"/>
      <x:c r="K19" s="29"/>
      <x:c r="L19" s="29"/>
      <x:c r="M19" s="29"/>
      <x:c r="N19" s="29"/>
      <x:c r="O19" s="29"/>
      <x:c r="P19" s="29"/>
    </x:row>
    <x:row r="20">
      <x:c r="A20" s="29"/>
      <x:c r="B20" s="29"/>
      <x:c r="C20" s="29"/>
      <x:c r="D20" s="29"/>
      <x:c r="E20" s="29"/>
      <x:c r="F20" s="29"/>
      <x:c r="G20" s="45"/>
      <x:c r="H20" s="45"/>
      <x:c r="I20" s="29"/>
      <x:c r="J20" s="29"/>
      <x:c r="K20" s="29"/>
      <x:c r="L20" s="29"/>
      <x:c r="M20" s="29"/>
      <x:c r="N20" s="29"/>
      <x:c r="O20" s="29"/>
      <x:c r="P20" s="29"/>
    </x:row>
    <x:row r="21">
      <x:c r="A21" s="29"/>
      <x:c r="B21" s="29"/>
      <x:c r="C21" s="29"/>
      <x:c r="D21" s="29"/>
      <x:c r="E21" s="29"/>
      <x:c r="F21" s="29"/>
      <x:c r="G21" s="45"/>
      <x:c r="H21" s="45"/>
      <x:c r="I21" s="29"/>
      <x:c r="J21" s="29"/>
      <x:c r="K21" s="29"/>
      <x:c r="L21" s="29"/>
      <x:c r="M21" s="29"/>
      <x:c r="N21" s="29"/>
      <x:c r="O21" s="29"/>
      <x:c r="P21" s="29"/>
    </x:row>
    <x:row r="22">
      <x:c r="A22" s="29"/>
      <x:c r="B22" s="29"/>
      <x:c r="C22" s="29"/>
      <x:c r="D22" s="29"/>
      <x:c r="E22" s="29"/>
      <x:c r="F22" s="29"/>
      <x:c r="G22" s="45"/>
      <x:c r="H22" s="45"/>
      <x:c r="I22" s="29"/>
      <x:c r="J22" s="29"/>
      <x:c r="K22" s="29"/>
      <x:c r="L22" s="29"/>
      <x:c r="M22" s="29"/>
      <x:c r="N22" s="29"/>
      <x:c r="O22" s="29"/>
      <x:c r="P22" s="29"/>
    </x:row>
    <x:row r="23">
      <x:c r="A23" s="29"/>
      <x:c r="B23" s="29"/>
      <x:c r="C23" s="29"/>
      <x:c r="D23" s="29"/>
      <x:c r="E23" s="29"/>
      <x:c r="F23" s="29"/>
      <x:c r="G23" s="45"/>
      <x:c r="H23" s="45"/>
      <x:c r="I23" s="29"/>
      <x:c r="J23" s="29"/>
      <x:c r="K23" s="29"/>
      <x:c r="L23" s="29"/>
      <x:c r="M23" s="29"/>
      <x:c r="N23" s="29"/>
      <x:c r="O23" s="29"/>
      <x:c r="P23" s="29"/>
    </x:row>
    <x:row r="24">
      <x:c r="A24" s="29"/>
      <x:c r="B24" s="29"/>
      <x:c r="C24" s="29"/>
      <x:c r="D24" s="29"/>
      <x:c r="E24" s="29"/>
      <x:c r="F24" s="29"/>
      <x:c r="G24" s="45"/>
      <x:c r="H24" s="45"/>
      <x:c r="I24" s="29"/>
      <x:c r="J24" s="29"/>
      <x:c r="K24" s="29"/>
      <x:c r="L24" s="29"/>
      <x:c r="M24" s="29"/>
      <x:c r="N24" s="29"/>
      <x:c r="O24" s="29"/>
      <x:c r="P24" s="29"/>
    </x:row>
    <x:row r="25">
      <x:c r="A25" s="29"/>
      <x:c r="B25" s="29"/>
      <x:c r="C25" s="29"/>
      <x:c r="D25" s="29"/>
      <x:c r="E25" s="29"/>
      <x:c r="F25" s="29"/>
      <x:c r="G25" s="45"/>
      <x:c r="H25" s="45"/>
      <x:c r="I25" s="29"/>
      <x:c r="J25" s="29"/>
      <x:c r="K25" s="29"/>
      <x:c r="L25" s="29"/>
      <x:c r="M25" s="29"/>
      <x:c r="N25" s="29"/>
      <x:c r="O25" s="29"/>
      <x:c r="P25" s="29"/>
    </x:row>
    <x:row r="26">
      <x:c r="A26" s="29"/>
      <x:c r="B26" s="29"/>
      <x:c r="C26" s="29"/>
      <x:c r="D26" s="29"/>
      <x:c r="E26" s="29"/>
      <x:c r="F26" s="29"/>
      <x:c r="G26" s="45"/>
      <x:c r="H26" s="45"/>
      <x:c r="I26" s="29"/>
      <x:c r="J26" s="29"/>
      <x:c r="K26" s="29"/>
      <x:c r="L26" s="29"/>
      <x:c r="M26" s="29"/>
      <x:c r="N26" s="29"/>
      <x:c r="O26" s="29"/>
      <x:c r="P26" s="29"/>
    </x:row>
    <x:row r="27">
      <x:c r="A27" s="29"/>
      <x:c r="B27" s="29"/>
      <x:c r="C27" s="29"/>
      <x:c r="D27" s="29"/>
      <x:c r="E27" s="29"/>
      <x:c r="F27" s="29"/>
      <x:c r="G27" s="45"/>
      <x:c r="H27" s="45"/>
      <x:c r="I27" s="29"/>
      <x:c r="J27" s="29"/>
      <x:c r="K27" s="29"/>
      <x:c r="L27" s="29"/>
      <x:c r="M27" s="29"/>
      <x:c r="N27" s="29"/>
      <x:c r="O27" s="29"/>
      <x:c r="P27" s="29"/>
    </x:row>
    <x:row r="28">
      <x:c r="A28" s="29"/>
      <x:c r="B28" s="29"/>
      <x:c r="C28" s="29"/>
      <x:c r="D28" s="29"/>
      <x:c r="E28" s="29"/>
      <x:c r="F28" s="29"/>
      <x:c r="G28" s="45"/>
      <x:c r="H28" s="45"/>
      <x:c r="I28" s="29"/>
      <x:c r="J28" s="29"/>
      <x:c r="K28" s="29"/>
      <x:c r="L28" s="29"/>
      <x:c r="M28" s="29"/>
      <x:c r="N28" s="29"/>
      <x:c r="O28" s="29"/>
      <x:c r="P28" s="29"/>
    </x:row>
    <x:row r="29">
      <x:c r="A29" s="29"/>
      <x:c r="B29" s="29"/>
      <x:c r="C29" s="29"/>
      <x:c r="D29" s="29"/>
      <x:c r="E29" s="29"/>
      <x:c r="F29" s="29"/>
      <x:c r="G29" s="45"/>
      <x:c r="H29" s="45"/>
      <x:c r="I29" s="29"/>
      <x:c r="J29" s="29"/>
      <x:c r="K29" s="29"/>
      <x:c r="L29" s="29"/>
      <x:c r="M29" s="29"/>
      <x:c r="N29" s="29"/>
      <x:c r="O29" s="29"/>
      <x:c r="P29" s="29"/>
    </x:row>
    <x:row r="30">
      <x:c r="A30" s="29"/>
      <x:c r="B30" s="29"/>
      <x:c r="C30" s="29"/>
      <x:c r="D30" s="29"/>
      <x:c r="E30" s="29"/>
      <x:c r="F30" s="29"/>
      <x:c r="G30" s="45"/>
      <x:c r="H30" s="45"/>
      <x:c r="I30" s="29"/>
      <x:c r="J30" s="29"/>
      <x:c r="K30" s="29"/>
      <x:c r="L30" s="29"/>
      <x:c r="M30" s="29"/>
      <x:c r="N30" s="29"/>
      <x:c r="O30" s="29"/>
      <x:c r="P30" s="29"/>
    </x:row>
    <x:row r="31">
      <x:c r="A31" s="29"/>
      <x:c r="B31" s="29"/>
      <x:c r="C31" s="29"/>
      <x:c r="D31" s="29"/>
      <x:c r="E31" s="29"/>
      <x:c r="F31" s="29"/>
      <x:c r="G31" s="45"/>
      <x:c r="H31" s="45"/>
      <x:c r="I31" s="29"/>
      <x:c r="J31" s="29"/>
      <x:c r="K31" s="29"/>
      <x:c r="L31" s="29"/>
      <x:c r="M31" s="29"/>
      <x:c r="N31" s="29"/>
      <x:c r="O31" s="29"/>
      <x:c r="P31" s="29"/>
    </x:row>
    <x:row r="32">
      <x:c r="A32" s="29"/>
      <x:c r="B32" s="29"/>
      <x:c r="C32" s="29"/>
      <x:c r="D32" s="29"/>
      <x:c r="E32" s="29"/>
      <x:c r="F32" s="29"/>
      <x:c r="G32" s="45"/>
      <x:c r="H32" s="45"/>
      <x:c r="I32" s="29"/>
      <x:c r="J32" s="29"/>
      <x:c r="K32" s="29"/>
      <x:c r="L32" s="29"/>
      <x:c r="M32" s="29"/>
      <x:c r="N32" s="29"/>
      <x:c r="O32" s="29"/>
      <x:c r="P32" s="29"/>
    </x:row>
    <x:row r="33">
      <x:c r="A33" s="29"/>
      <x:c r="B33" s="29"/>
      <x:c r="C33" s="29"/>
      <x:c r="D33" s="29"/>
      <x:c r="E33" s="29"/>
      <x:c r="F33" s="29"/>
      <x:c r="G33" s="45"/>
      <x:c r="H33" s="45"/>
      <x:c r="I33" s="29"/>
      <x:c r="J33" s="29"/>
      <x:c r="K33" s="29"/>
      <x:c r="L33" s="29"/>
      <x:c r="M33" s="29"/>
      <x:c r="N33" s="29"/>
      <x:c r="O33" s="29"/>
      <x:c r="P33" s="29"/>
    </x:row>
    <x:row r="34">
      <x:c r="A34" s="29"/>
      <x:c r="B34" s="29"/>
      <x:c r="C34" s="29"/>
      <x:c r="D34" s="29"/>
      <x:c r="E34" s="29"/>
      <x:c r="F34" s="29"/>
      <x:c r="G34" s="45"/>
      <x:c r="H34" s="45"/>
      <x:c r="I34" s="29"/>
      <x:c r="J34" s="29"/>
      <x:c r="K34" s="29"/>
      <x:c r="L34" s="29"/>
      <x:c r="M34" s="29"/>
      <x:c r="N34" s="29"/>
      <x:c r="O34" s="29"/>
      <x:c r="P34" s="29"/>
    </x:row>
  </x:sheetData>
  <x:mergeCells>
    <x:mergeCell ref="A1:P1"/>
    <x:mergeCell ref="A2:P2"/>
  </x:mergeCells>
  <x:conditionalFormatting sqref="O5:O34">
    <x:cfRule type="containsText" dxfId="7" priority="1" operator="containsText" text="已完成"/>
    <x:cfRule type="containsText" dxfId="8" priority="2" operator="containsText" text="阻塞"/>
    <x:cfRule type="containsText" dxfId="9" priority="3" operator="containsText" text="待"/>
  </x:conditionalFormatting>
  <x:dataValidations count="3">
    <x:dataValidation type="list" sqref="C5:C34">
      <x:formula1>"竞赛要求,专业规则,年报／报告,监管／审计案例,业务数据,论文／教材,工具说明,其他"</x:formula1>
    </x:dataValidation>
    <x:dataValidation type="list" sqref="M5:M34">
      <x:formula1>"公开,已授权脱敏,不可使用,待确认"</x:formula1>
    </x:dataValidation>
    <x:dataValidation type="list" sqref="O5:O34">
      <x:formula1>"待查找,已下载,已核验,不可用,链接失效"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32" hidden="0" customWidth="1"/>
    <x:col min="5" max="5" width="13" hidden="0" customWidth="1"/>
    <x:col min="6" max="6" width="38" hidden="0" customWidth="1"/>
    <x:col min="7" max="7" width="32" hidden="0" customWidth="1"/>
    <x:col min="8" max="8" width="24" hidden="0" customWidth="1"/>
    <x:col min="9" max="9" width="26" hidden="0" customWidth="1"/>
    <x:col min="10" max="10" width="14" hidden="0" customWidth="1"/>
    <x:col min="11" max="11" width="36" hidden="0" customWidth="1"/>
    <x:col min="12" max="12" width="15" hidden="0" customWidth="1"/>
    <x:col min="13" max="13" width="15" hidden="0" customWidth="1"/>
    <x:col min="14" max="14" width="14" hidden="0" customWidth="1"/>
    <x:col min="15" max="15" width="14" hidden="0" customWidth="1"/>
    <x:col min="16" max="16" width="13" hidden="0" customWidth="1"/>
    <x:col min="17" max="17" width="36" hidden="0" customWidth="1"/>
  </x:cols>
  <x:sheetData>
    <x:row r="1" ht="34" customHeight="1">
      <x:c r="A1" s="3" t="str">
        <x:v>案例、人工参考与效果测试记录</x:v>
      </x:c>
      <x:c r="B1" s="3" t="str">
        <x:v>案例、人工参考与效果测试记录</x:v>
      </x:c>
      <x:c r="C1" s="3" t="str">
        <x:v>案例、人工参考与效果测试记录</x:v>
      </x:c>
      <x:c r="D1" s="3" t="str">
        <x:v>案例、人工参考与效果测试记录</x:v>
      </x:c>
      <x:c r="E1" s="3" t="str">
        <x:v>案例、人工参考与效果测试记录</x:v>
      </x:c>
      <x:c r="F1" s="3" t="str">
        <x:v>案例、人工参考与效果测试记录</x:v>
      </x:c>
      <x:c r="G1" s="3" t="str">
        <x:v>案例、人工参考与效果测试记录</x:v>
      </x:c>
      <x:c r="H1" s="3" t="str">
        <x:v>案例、人工参考与效果测试记录</x:v>
      </x:c>
      <x:c r="I1" s="3" t="str">
        <x:v>案例、人工参考与效果测试记录</x:v>
      </x:c>
      <x:c r="J1" s="3" t="str">
        <x:v>案例、人工参考与效果测试记录</x:v>
      </x:c>
      <x:c r="K1" s="3" t="str">
        <x:v>案例、人工参考与效果测试记录</x:v>
      </x:c>
      <x:c r="L1" s="3" t="str">
        <x:v>案例、人工参考与效果测试记录</x:v>
      </x:c>
      <x:c r="M1" s="3" t="str">
        <x:v>案例、人工参考与效果测试记录</x:v>
      </x:c>
      <x:c r="N1" s="3" t="str">
        <x:v>案例、人工参考与效果测试记录</x:v>
      </x:c>
      <x:c r="O1" s="3" t="str">
        <x:v>案例、人工参考与效果测试记录</x:v>
      </x:c>
      <x:c r="P1" s="3" t="str">
        <x:v>案例、人工参考与效果测试记录</x:v>
      </x:c>
      <x:c r="Q1" s="3" t="str">
        <x:v>案例、人工参考与效果测试记录</x:v>
      </x:c>
    </x:row>
    <x:row r="2" ht="30" customHeight="1">
      <x:c r="A2" s="7" t="str">
        <x:v>必须先填“人工参考／正确答案”和“比较对象”，再运行系统；不能看完系统输出后反向修改标准答案。</x:v>
      </x:c>
      <x:c r="B2" s="7" t="str">
        <x:v>必须先填“人工参考／正确答案”和“比较对象”，再运行系统；不能看完系统输出后反向修改标准答案。</x:v>
      </x:c>
      <x:c r="C2" s="7" t="str">
        <x:v>必须先填“人工参考／正确答案”和“比较对象”，再运行系统；不能看完系统输出后反向修改标准答案。</x:v>
      </x:c>
      <x:c r="D2" s="7" t="str">
        <x:v>必须先填“人工参考／正确答案”和“比较对象”，再运行系统；不能看完系统输出后反向修改标准答案。</x:v>
      </x:c>
      <x:c r="E2" s="7" t="str">
        <x:v>必须先填“人工参考／正确答案”和“比较对象”，再运行系统；不能看完系统输出后反向修改标准答案。</x:v>
      </x:c>
      <x:c r="F2" s="7" t="str">
        <x:v>必须先填“人工参考／正确答案”和“比较对象”，再运行系统；不能看完系统输出后反向修改标准答案。</x:v>
      </x:c>
      <x:c r="G2" s="7" t="str">
        <x:v>必须先填“人工参考／正确答案”和“比较对象”，再运行系统；不能看完系统输出后反向修改标准答案。</x:v>
      </x:c>
      <x:c r="H2" s="7" t="str">
        <x:v>必须先填“人工参考／正确答案”和“比较对象”，再运行系统；不能看完系统输出后反向修改标准答案。</x:v>
      </x:c>
      <x:c r="I2" s="7" t="str">
        <x:v>必须先填“人工参考／正确答案”和“比较对象”，再运行系统；不能看完系统输出后反向修改标准答案。</x:v>
      </x:c>
      <x:c r="J2" s="7" t="str">
        <x:v>必须先填“人工参考／正确答案”和“比较对象”，再运行系统；不能看完系统输出后反向修改标准答案。</x:v>
      </x:c>
      <x:c r="K2" s="7" t="str">
        <x:v>必须先填“人工参考／正确答案”和“比较对象”，再运行系统；不能看完系统输出后反向修改标准答案。</x:v>
      </x:c>
      <x:c r="L2" s="7" t="str">
        <x:v>必须先填“人工参考／正确答案”和“比较对象”，再运行系统；不能看完系统输出后反向修改标准答案。</x:v>
      </x:c>
      <x:c r="M2" s="7" t="str">
        <x:v>必须先填“人工参考／正确答案”和“比较对象”，再运行系统；不能看完系统输出后反向修改标准答案。</x:v>
      </x:c>
      <x:c r="N2" s="7" t="str">
        <x:v>必须先填“人工参考／正确答案”和“比较对象”，再运行系统；不能看完系统输出后反向修改标准答案。</x:v>
      </x:c>
      <x:c r="O2" s="7" t="str">
        <x:v>必须先填“人工参考／正确答案”和“比较对象”，再运行系统；不能看完系统输出后反向修改标准答案。</x:v>
      </x:c>
      <x:c r="P2" s="7" t="str">
        <x:v>必须先填“人工参考／正确答案”和“比较对象”，再运行系统；不能看完系统输出后反向修改标准答案。</x:v>
      </x:c>
      <x:c r="Q2" s="7" t="str">
        <x:v>必须先填“人工参考／正确答案”和“比较对象”，再运行系统；不能看完系统输出后反向修改标准答案。</x:v>
      </x:c>
    </x:row>
    <x:row r="4" ht="31" customHeight="1">
      <x:c r="A4" s="13" t="str">
        <x:v>案例ID</x:v>
      </x:c>
      <x:c r="B4" s="13" t="str">
        <x:v>候选／最终选题</x:v>
      </x:c>
      <x:c r="C4" s="13" t="str">
        <x:v>案例名称</x:v>
      </x:c>
      <x:c r="D4" s="13" t="str">
        <x:v>输入材料</x:v>
      </x:c>
      <x:c r="E4" s="13" t="str">
        <x:v>资料时点</x:v>
      </x:c>
      <x:c r="F4" s="13" t="str">
        <x:v>人工参考／正确答案</x:v>
      </x:c>
      <x:c r="G4" s="13" t="str">
        <x:v>参考依据</x:v>
      </x:c>
      <x:c r="H4" s="13" t="str">
        <x:v>比较对象</x:v>
      </x:c>
      <x:c r="I4" s="13" t="str">
        <x:v>测试指标</x:v>
      </x:c>
      <x:c r="J4" s="13" t="str">
        <x:v>系统版本</x:v>
      </x:c>
      <x:c r="K4" s="13" t="str">
        <x:v>实际输出摘要</x:v>
      </x:c>
      <x:c r="L4" s="13" t="str">
        <x:v>是否覆盖重点</x:v>
      </x:c>
      <x:c r="M4" s="13" t="str">
        <x:v>引用是否正确</x:v>
      </x:c>
      <x:c r="N4" s="13" t="str">
        <x:v>无依据结论数</x:v>
      </x:c>
      <x:c r="O4" s="13" t="str">
        <x:v>处理时间</x:v>
      </x:c>
      <x:c r="P4" s="13" t="str">
        <x:v>是否通过</x:v>
      </x:c>
      <x:c r="Q4" s="13" t="str">
        <x:v>错误与复测</x:v>
      </x:c>
    </x:row>
    <x:row r="5">
      <x:c r="A5" s="43"/>
      <x:c r="B5" s="43"/>
      <x:c r="C5" s="43"/>
      <x:c r="D5" s="43"/>
      <x:c r="E5" s="44"/>
      <x:c r="F5" s="43"/>
      <x:c r="G5" s="43"/>
      <x:c r="H5" s="43"/>
      <x:c r="I5" s="43"/>
      <x:c r="J5" s="43"/>
      <x:c r="K5" s="43"/>
      <x:c r="L5" s="43"/>
      <x:c r="M5" s="43"/>
      <x:c r="N5" s="46"/>
      <x:c r="O5" s="48"/>
      <x:c r="P5" s="43"/>
      <x:c r="Q5" s="43"/>
    </x:row>
    <x:row r="6">
      <x:c r="A6" s="29"/>
      <x:c r="B6" s="29"/>
      <x:c r="C6" s="29"/>
      <x:c r="D6" s="29"/>
      <x:c r="E6" s="45"/>
      <x:c r="F6" s="29"/>
      <x:c r="G6" s="29"/>
      <x:c r="H6" s="29"/>
      <x:c r="I6" s="29"/>
      <x:c r="J6" s="29"/>
      <x:c r="K6" s="29"/>
      <x:c r="L6" s="29"/>
      <x:c r="M6" s="29"/>
      <x:c r="N6" s="47"/>
      <x:c r="O6" s="49"/>
      <x:c r="P6" s="29"/>
      <x:c r="Q6" s="29"/>
    </x:row>
    <x:row r="7">
      <x:c r="A7" s="29"/>
      <x:c r="B7" s="29"/>
      <x:c r="C7" s="29"/>
      <x:c r="D7" s="29"/>
      <x:c r="E7" s="45"/>
      <x:c r="F7" s="29"/>
      <x:c r="G7" s="29"/>
      <x:c r="H7" s="29"/>
      <x:c r="I7" s="29"/>
      <x:c r="J7" s="29"/>
      <x:c r="K7" s="29"/>
      <x:c r="L7" s="29"/>
      <x:c r="M7" s="29"/>
      <x:c r="N7" s="47"/>
      <x:c r="O7" s="49"/>
      <x:c r="P7" s="29"/>
      <x:c r="Q7" s="29"/>
    </x:row>
    <x:row r="8">
      <x:c r="A8" s="29"/>
      <x:c r="B8" s="29"/>
      <x:c r="C8" s="29"/>
      <x:c r="D8" s="29"/>
      <x:c r="E8" s="45"/>
      <x:c r="F8" s="29"/>
      <x:c r="G8" s="29"/>
      <x:c r="H8" s="29"/>
      <x:c r="I8" s="29"/>
      <x:c r="J8" s="29"/>
      <x:c r="K8" s="29"/>
      <x:c r="L8" s="29"/>
      <x:c r="M8" s="29"/>
      <x:c r="N8" s="47"/>
      <x:c r="O8" s="49"/>
      <x:c r="P8" s="29"/>
      <x:c r="Q8" s="29"/>
    </x:row>
    <x:row r="9">
      <x:c r="A9" s="29"/>
      <x:c r="B9" s="29"/>
      <x:c r="C9" s="29"/>
      <x:c r="D9" s="29"/>
      <x:c r="E9" s="45"/>
      <x:c r="F9" s="29"/>
      <x:c r="G9" s="29"/>
      <x:c r="H9" s="29"/>
      <x:c r="I9" s="29"/>
      <x:c r="J9" s="29"/>
      <x:c r="K9" s="29"/>
      <x:c r="L9" s="29"/>
      <x:c r="M9" s="29"/>
      <x:c r="N9" s="47"/>
      <x:c r="O9" s="49"/>
      <x:c r="P9" s="29"/>
      <x:c r="Q9" s="29"/>
    </x:row>
    <x:row r="10">
      <x:c r="A10" s="29"/>
      <x:c r="B10" s="29"/>
      <x:c r="C10" s="29"/>
      <x:c r="D10" s="29"/>
      <x:c r="E10" s="45"/>
      <x:c r="F10" s="29"/>
      <x:c r="G10" s="29"/>
      <x:c r="H10" s="29"/>
      <x:c r="I10" s="29"/>
      <x:c r="J10" s="29"/>
      <x:c r="K10" s="29"/>
      <x:c r="L10" s="29"/>
      <x:c r="M10" s="29"/>
      <x:c r="N10" s="47"/>
      <x:c r="O10" s="49"/>
      <x:c r="P10" s="29"/>
      <x:c r="Q10" s="29"/>
    </x:row>
    <x:row r="11">
      <x:c r="A11" s="29"/>
      <x:c r="B11" s="29"/>
      <x:c r="C11" s="29"/>
      <x:c r="D11" s="29"/>
      <x:c r="E11" s="45"/>
      <x:c r="F11" s="29"/>
      <x:c r="G11" s="29"/>
      <x:c r="H11" s="29"/>
      <x:c r="I11" s="29"/>
      <x:c r="J11" s="29"/>
      <x:c r="K11" s="29"/>
      <x:c r="L11" s="29"/>
      <x:c r="M11" s="29"/>
      <x:c r="N11" s="47"/>
      <x:c r="O11" s="49"/>
      <x:c r="P11" s="29"/>
      <x:c r="Q11" s="29"/>
    </x:row>
    <x:row r="12">
      <x:c r="A12" s="29"/>
      <x:c r="B12" s="29"/>
      <x:c r="C12" s="29"/>
      <x:c r="D12" s="29"/>
      <x:c r="E12" s="45"/>
      <x:c r="F12" s="29"/>
      <x:c r="G12" s="29"/>
      <x:c r="H12" s="29"/>
      <x:c r="I12" s="29"/>
      <x:c r="J12" s="29"/>
      <x:c r="K12" s="29"/>
      <x:c r="L12" s="29"/>
      <x:c r="M12" s="29"/>
      <x:c r="N12" s="47"/>
      <x:c r="O12" s="49"/>
      <x:c r="P12" s="29"/>
      <x:c r="Q12" s="29"/>
    </x:row>
    <x:row r="13">
      <x:c r="A13" s="29"/>
      <x:c r="B13" s="29"/>
      <x:c r="C13" s="29"/>
      <x:c r="D13" s="29"/>
      <x:c r="E13" s="45"/>
      <x:c r="F13" s="29"/>
      <x:c r="G13" s="29"/>
      <x:c r="H13" s="29"/>
      <x:c r="I13" s="29"/>
      <x:c r="J13" s="29"/>
      <x:c r="K13" s="29"/>
      <x:c r="L13" s="29"/>
      <x:c r="M13" s="29"/>
      <x:c r="N13" s="47"/>
      <x:c r="O13" s="49"/>
      <x:c r="P13" s="29"/>
      <x:c r="Q13" s="29"/>
    </x:row>
    <x:row r="14">
      <x:c r="A14" s="29"/>
      <x:c r="B14" s="29"/>
      <x:c r="C14" s="29"/>
      <x:c r="D14" s="29"/>
      <x:c r="E14" s="45"/>
      <x:c r="F14" s="29"/>
      <x:c r="G14" s="29"/>
      <x:c r="H14" s="29"/>
      <x:c r="I14" s="29"/>
      <x:c r="J14" s="29"/>
      <x:c r="K14" s="29"/>
      <x:c r="L14" s="29"/>
      <x:c r="M14" s="29"/>
      <x:c r="N14" s="47"/>
      <x:c r="O14" s="49"/>
      <x:c r="P14" s="29"/>
      <x:c r="Q14" s="29"/>
    </x:row>
    <x:row r="15">
      <x:c r="A15" s="29"/>
      <x:c r="B15" s="29"/>
      <x:c r="C15" s="29"/>
      <x:c r="D15" s="29"/>
      <x:c r="E15" s="45"/>
      <x:c r="F15" s="29"/>
      <x:c r="G15" s="29"/>
      <x:c r="H15" s="29"/>
      <x:c r="I15" s="29"/>
      <x:c r="J15" s="29"/>
      <x:c r="K15" s="29"/>
      <x:c r="L15" s="29"/>
      <x:c r="M15" s="29"/>
      <x:c r="N15" s="47"/>
      <x:c r="O15" s="49"/>
      <x:c r="P15" s="29"/>
      <x:c r="Q15" s="29"/>
    </x:row>
    <x:row r="16">
      <x:c r="A16" s="29"/>
      <x:c r="B16" s="29"/>
      <x:c r="C16" s="29"/>
      <x:c r="D16" s="29"/>
      <x:c r="E16" s="45"/>
      <x:c r="F16" s="29"/>
      <x:c r="G16" s="29"/>
      <x:c r="H16" s="29"/>
      <x:c r="I16" s="29"/>
      <x:c r="J16" s="29"/>
      <x:c r="K16" s="29"/>
      <x:c r="L16" s="29"/>
      <x:c r="M16" s="29"/>
      <x:c r="N16" s="47"/>
      <x:c r="O16" s="49"/>
      <x:c r="P16" s="29"/>
      <x:c r="Q16" s="29"/>
    </x:row>
    <x:row r="17">
      <x:c r="A17" s="29"/>
      <x:c r="B17" s="29"/>
      <x:c r="C17" s="29"/>
      <x:c r="D17" s="29"/>
      <x:c r="E17" s="45"/>
      <x:c r="F17" s="29"/>
      <x:c r="G17" s="29"/>
      <x:c r="H17" s="29"/>
      <x:c r="I17" s="29"/>
      <x:c r="J17" s="29"/>
      <x:c r="K17" s="29"/>
      <x:c r="L17" s="29"/>
      <x:c r="M17" s="29"/>
      <x:c r="N17" s="47"/>
      <x:c r="O17" s="49"/>
      <x:c r="P17" s="29"/>
      <x:c r="Q17" s="29"/>
    </x:row>
    <x:row r="18">
      <x:c r="A18" s="29"/>
      <x:c r="B18" s="29"/>
      <x:c r="C18" s="29"/>
      <x:c r="D18" s="29"/>
      <x:c r="E18" s="45"/>
      <x:c r="F18" s="29"/>
      <x:c r="G18" s="29"/>
      <x:c r="H18" s="29"/>
      <x:c r="I18" s="29"/>
      <x:c r="J18" s="29"/>
      <x:c r="K18" s="29"/>
      <x:c r="L18" s="29"/>
      <x:c r="M18" s="29"/>
      <x:c r="N18" s="47"/>
      <x:c r="O18" s="49"/>
      <x:c r="P18" s="29"/>
      <x:c r="Q18" s="29"/>
    </x:row>
    <x:row r="19">
      <x:c r="A19" s="29"/>
      <x:c r="B19" s="29"/>
      <x:c r="C19" s="29"/>
      <x:c r="D19" s="29"/>
      <x:c r="E19" s="45"/>
      <x:c r="F19" s="29"/>
      <x:c r="G19" s="29"/>
      <x:c r="H19" s="29"/>
      <x:c r="I19" s="29"/>
      <x:c r="J19" s="29"/>
      <x:c r="K19" s="29"/>
      <x:c r="L19" s="29"/>
      <x:c r="M19" s="29"/>
      <x:c r="N19" s="47"/>
      <x:c r="O19" s="49"/>
      <x:c r="P19" s="29"/>
      <x:c r="Q19" s="29"/>
    </x:row>
    <x:row r="20">
      <x:c r="A20" s="29"/>
      <x:c r="B20" s="29"/>
      <x:c r="C20" s="29"/>
      <x:c r="D20" s="29"/>
      <x:c r="E20" s="45"/>
      <x:c r="F20" s="29"/>
      <x:c r="G20" s="29"/>
      <x:c r="H20" s="29"/>
      <x:c r="I20" s="29"/>
      <x:c r="J20" s="29"/>
      <x:c r="K20" s="29"/>
      <x:c r="L20" s="29"/>
      <x:c r="M20" s="29"/>
      <x:c r="N20" s="47"/>
      <x:c r="O20" s="49"/>
      <x:c r="P20" s="29"/>
      <x:c r="Q20" s="29"/>
    </x:row>
    <x:row r="21">
      <x:c r="A21" s="29"/>
      <x:c r="B21" s="29"/>
      <x:c r="C21" s="29"/>
      <x:c r="D21" s="29"/>
      <x:c r="E21" s="45"/>
      <x:c r="F21" s="29"/>
      <x:c r="G21" s="29"/>
      <x:c r="H21" s="29"/>
      <x:c r="I21" s="29"/>
      <x:c r="J21" s="29"/>
      <x:c r="K21" s="29"/>
      <x:c r="L21" s="29"/>
      <x:c r="M21" s="29"/>
      <x:c r="N21" s="47"/>
      <x:c r="O21" s="49"/>
      <x:c r="P21" s="29"/>
      <x:c r="Q21" s="29"/>
    </x:row>
    <x:row r="22">
      <x:c r="A22" s="29"/>
      <x:c r="B22" s="29"/>
      <x:c r="C22" s="29"/>
      <x:c r="D22" s="29"/>
      <x:c r="E22" s="45"/>
      <x:c r="F22" s="29"/>
      <x:c r="G22" s="29"/>
      <x:c r="H22" s="29"/>
      <x:c r="I22" s="29"/>
      <x:c r="J22" s="29"/>
      <x:c r="K22" s="29"/>
      <x:c r="L22" s="29"/>
      <x:c r="M22" s="29"/>
      <x:c r="N22" s="47"/>
      <x:c r="O22" s="49"/>
      <x:c r="P22" s="29"/>
      <x:c r="Q22" s="29"/>
    </x:row>
    <x:row r="23">
      <x:c r="A23" s="29"/>
      <x:c r="B23" s="29"/>
      <x:c r="C23" s="29"/>
      <x:c r="D23" s="29"/>
      <x:c r="E23" s="45"/>
      <x:c r="F23" s="29"/>
      <x:c r="G23" s="29"/>
      <x:c r="H23" s="29"/>
      <x:c r="I23" s="29"/>
      <x:c r="J23" s="29"/>
      <x:c r="K23" s="29"/>
      <x:c r="L23" s="29"/>
      <x:c r="M23" s="29"/>
      <x:c r="N23" s="47"/>
      <x:c r="O23" s="49"/>
      <x:c r="P23" s="29"/>
      <x:c r="Q23" s="29"/>
    </x:row>
    <x:row r="24">
      <x:c r="A24" s="29"/>
      <x:c r="B24" s="29"/>
      <x:c r="C24" s="29"/>
      <x:c r="D24" s="29"/>
      <x:c r="E24" s="45"/>
      <x:c r="F24" s="29"/>
      <x:c r="G24" s="29"/>
      <x:c r="H24" s="29"/>
      <x:c r="I24" s="29"/>
      <x:c r="J24" s="29"/>
      <x:c r="K24" s="29"/>
      <x:c r="L24" s="29"/>
      <x:c r="M24" s="29"/>
      <x:c r="N24" s="47"/>
      <x:c r="O24" s="49"/>
      <x:c r="P24" s="29"/>
      <x:c r="Q24" s="29"/>
    </x:row>
  </x:sheetData>
  <x:mergeCells>
    <x:mergeCell ref="A1:Q1"/>
    <x:mergeCell ref="A2:Q2"/>
  </x:mergeCells>
  <x:conditionalFormatting sqref="P5:P24">
    <x:cfRule type="containsText" dxfId="10" priority="1" operator="containsText" text="已完成"/>
    <x:cfRule type="containsText" dxfId="11" priority="2" operator="containsText" text="阻塞"/>
    <x:cfRule type="containsText" dxfId="12" priority="3" operator="containsText" text="待"/>
  </x:conditionalFormatting>
  <x:dataValidations count="2">
    <x:dataValidation type="list" sqref="L5:M24">
      <x:formula1>"是,部分,否,不适用"</x:formula1>
    </x:dataValidation>
    <x:dataValidation type="list" sqref="P5:P24">
      <x:formula1>"通过,未通过,待复测"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28" hidden="0" customWidth="1"/>
    <x:col min="4" max="4" width="18" hidden="0" customWidth="1"/>
    <x:col min="5" max="5" width="42" hidden="0" customWidth="1"/>
    <x:col min="6" max="6" width="32" hidden="0" customWidth="1"/>
    <x:col min="7" max="7" width="30" hidden="0" customWidth="1"/>
    <x:col min="8" max="8" width="32" hidden="0" customWidth="1"/>
    <x:col min="9" max="9" width="26" hidden="0" customWidth="1"/>
    <x:col min="10" max="10" width="28" hidden="0" customWidth="1"/>
    <x:col min="11" max="11" width="30" hidden="0" customWidth="1"/>
    <x:col min="12" max="12" width="15" hidden="0" customWidth="1"/>
    <x:col min="13" max="13" width="30" hidden="0" customWidth="1"/>
    <x:col min="14" max="14" width="12" hidden="0" customWidth="1"/>
    <x:col min="15" max="15" width="13" hidden="0" customWidth="1"/>
  </x:cols>
  <x:sheetData>
    <x:row r="1" ht="34" customHeight="1">
      <x:c r="A1" s="3" t="str">
        <x:v>Trae／Coze Vibe Coding开发记录</x:v>
      </x:c>
      <x:c r="B1" s="3" t="str">
        <x:v>Trae／Coze Vibe Coding开发记录</x:v>
      </x:c>
      <x:c r="C1" s="3" t="str">
        <x:v>Trae／Coze Vibe Coding开发记录</x:v>
      </x:c>
      <x:c r="D1" s="3" t="str">
        <x:v>Trae／Coze Vibe Coding开发记录</x:v>
      </x:c>
      <x:c r="E1" s="3" t="str">
        <x:v>Trae／Coze Vibe Coding开发记录</x:v>
      </x:c>
      <x:c r="F1" s="3" t="str">
        <x:v>Trae／Coze Vibe Coding开发记录</x:v>
      </x:c>
      <x:c r="G1" s="3" t="str">
        <x:v>Trae／Coze Vibe Coding开发记录</x:v>
      </x:c>
      <x:c r="H1" s="3" t="str">
        <x:v>Trae／Coze Vibe Coding开发记录</x:v>
      </x:c>
      <x:c r="I1" s="3" t="str">
        <x:v>Trae／Coze Vibe Coding开发记录</x:v>
      </x:c>
      <x:c r="J1" s="3" t="str">
        <x:v>Trae／Coze Vibe Coding开发记录</x:v>
      </x:c>
      <x:c r="K1" s="3" t="str">
        <x:v>Trae／Coze Vibe Coding开发记录</x:v>
      </x:c>
      <x:c r="L1" s="3" t="str">
        <x:v>Trae／Coze Vibe Coding开发记录</x:v>
      </x:c>
      <x:c r="M1" s="3" t="str">
        <x:v>Trae／Coze Vibe Coding开发记录</x:v>
      </x:c>
      <x:c r="N1" s="3" t="str">
        <x:v>Trae／Coze Vibe Coding开发记录</x:v>
      </x:c>
      <x:c r="O1" s="3" t="str">
        <x:v>Trae／Coze Vibe Coding开发记录</x:v>
      </x:c>
    </x:row>
    <x:row r="2" ht="30" customHeight="1">
      <x:c r="A2" s="7" t="str">
        <x:v>记录AI做了什么、人工检查了什么、结果是否真正运行成功。工具名称不能替代人工验证和专业贡献。</x:v>
      </x:c>
      <x:c r="B2" s="7" t="str">
        <x:v>记录AI做了什么、人工检查了什么、结果是否真正运行成功。工具名称不能替代人工验证和专业贡献。</x:v>
      </x:c>
      <x:c r="C2" s="7" t="str">
        <x:v>记录AI做了什么、人工检查了什么、结果是否真正运行成功。工具名称不能替代人工验证和专业贡献。</x:v>
      </x:c>
      <x:c r="D2" s="7" t="str">
        <x:v>记录AI做了什么、人工检查了什么、结果是否真正运行成功。工具名称不能替代人工验证和专业贡献。</x:v>
      </x:c>
      <x:c r="E2" s="7" t="str">
        <x:v>记录AI做了什么、人工检查了什么、结果是否真正运行成功。工具名称不能替代人工验证和专业贡献。</x:v>
      </x:c>
      <x:c r="F2" s="7" t="str">
        <x:v>记录AI做了什么、人工检查了什么、结果是否真正运行成功。工具名称不能替代人工验证和专业贡献。</x:v>
      </x:c>
      <x:c r="G2" s="7" t="str">
        <x:v>记录AI做了什么、人工检查了什么、结果是否真正运行成功。工具名称不能替代人工验证和专业贡献。</x:v>
      </x:c>
      <x:c r="H2" s="7" t="str">
        <x:v>记录AI做了什么、人工检查了什么、结果是否真正运行成功。工具名称不能替代人工验证和专业贡献。</x:v>
      </x:c>
      <x:c r="I2" s="7" t="str">
        <x:v>记录AI做了什么、人工检查了什么、结果是否真正运行成功。工具名称不能替代人工验证和专业贡献。</x:v>
      </x:c>
      <x:c r="J2" s="7" t="str">
        <x:v>记录AI做了什么、人工检查了什么、结果是否真正运行成功。工具名称不能替代人工验证和专业贡献。</x:v>
      </x:c>
      <x:c r="K2" s="7" t="str">
        <x:v>记录AI做了什么、人工检查了什么、结果是否真正运行成功。工具名称不能替代人工验证和专业贡献。</x:v>
      </x:c>
      <x:c r="L2" s="7" t="str">
        <x:v>记录AI做了什么、人工检查了什么、结果是否真正运行成功。工具名称不能替代人工验证和专业贡献。</x:v>
      </x:c>
      <x:c r="M2" s="7" t="str">
        <x:v>记录AI做了什么、人工检查了什么、结果是否真正运行成功。工具名称不能替代人工验证和专业贡献。</x:v>
      </x:c>
      <x:c r="N2" s="7" t="str">
        <x:v>记录AI做了什么、人工检查了什么、结果是否真正运行成功。工具名称不能替代人工验证和专业贡献。</x:v>
      </x:c>
      <x:c r="O2" s="7" t="str">
        <x:v>记录AI做了什么、人工检查了什么、结果是否真正运行成功。工具名称不能替代人工验证和专业贡献。</x:v>
      </x:c>
    </x:row>
    <x:row r="4" ht="31" customHeight="1">
      <x:c r="A4" s="13" t="str">
        <x:v>日期</x:v>
      </x:c>
      <x:c r="B4" s="13" t="str">
        <x:v>版本</x:v>
      </x:c>
      <x:c r="C4" s="13" t="str">
        <x:v>本次目标</x:v>
      </x:c>
      <x:c r="D4" s="13" t="str">
        <x:v>使用工具</x:v>
      </x:c>
      <x:c r="E4" s="13" t="str">
        <x:v>关键需求／提示词</x:v>
      </x:c>
      <x:c r="F4" s="13" t="str">
        <x:v>AI任务计划</x:v>
      </x:c>
      <x:c r="G4" s="13" t="str">
        <x:v>生成／修改文件</x:v>
      </x:c>
      <x:c r="H4" s="13" t="str">
        <x:v>人工检查</x:v>
      </x:c>
      <x:c r="I4" s="13" t="str">
        <x:v>首次运行结果</x:v>
      </x:c>
      <x:c r="J4" s="13" t="str">
        <x:v>错误／风险</x:v>
      </x:c>
      <x:c r="K4" s="13" t="str">
        <x:v>修正方式</x:v>
      </x:c>
      <x:c r="L4" s="13" t="str">
        <x:v>复测结果</x:v>
      </x:c>
      <x:c r="M4" s="13" t="str">
        <x:v>截图／录屏位置</x:v>
      </x:c>
      <x:c r="N4" s="13" t="str">
        <x:v>负责人</x:v>
      </x:c>
      <x:c r="O4" s="13" t="str">
        <x:v>状态</x:v>
      </x:c>
    </x:row>
    <x:row r="5">
      <x:c r="A5" s="44"/>
      <x:c r="B5" s="43"/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</x:row>
    <x:row r="6">
      <x:c r="A6" s="45"/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</x:row>
    <x:row r="7">
      <x:c r="A7" s="45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</x:row>
    <x:row r="8">
      <x:c r="A8" s="45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</x:row>
    <x:row r="9">
      <x:c r="A9" s="45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</x:row>
    <x:row r="10">
      <x:c r="A10" s="45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</x:row>
    <x:row r="11">
      <x:c r="A11" s="45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</x:row>
    <x:row r="12">
      <x:c r="A12" s="45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</x:row>
    <x:row r="13">
      <x:c r="A13" s="45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</x:row>
    <x:row r="14">
      <x:c r="A14" s="45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</x:row>
    <x:row r="15">
      <x:c r="A15" s="45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</x:row>
    <x:row r="16">
      <x:c r="A16" s="45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</x:row>
    <x:row r="17">
      <x:c r="A17" s="45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</x:row>
    <x:row r="18">
      <x:c r="A18" s="45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</x:row>
    <x:row r="19">
      <x:c r="A19" s="45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</x:row>
    <x:row r="20">
      <x:c r="A20" s="45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</x:row>
    <x:row r="21">
      <x:c r="A21" s="45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</x:row>
    <x:row r="22">
      <x:c r="A22" s="45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</x:row>
    <x:row r="23">
      <x:c r="A23" s="45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</x:row>
    <x:row r="24">
      <x:c r="A24" s="45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</x:row>
  </x:sheetData>
  <x:mergeCells>
    <x:mergeCell ref="A1:O1"/>
    <x:mergeCell ref="A2:O2"/>
  </x:mergeCells>
  <x:conditionalFormatting sqref="O5:O24">
    <x:cfRule type="containsText" dxfId="13" priority="1" operator="containsText" text="已完成"/>
    <x:cfRule type="containsText" dxfId="14" priority="2" operator="containsText" text="阻塞"/>
    <x:cfRule type="containsText" dxfId="15" priority="3" operator="containsText" text="待"/>
  </x:conditionalFormatting>
  <x:dataValidations count="3">
    <x:dataValidation type="list" sqref="D5:D24">
      <x:formula1>"Trae,Coze,ChatGPT,Python运行底座,其他"</x:formula1>
    </x:dataValidation>
    <x:dataValidation type="list" sqref="L5:L24">
      <x:formula1>"成功,部分成功,失败,未复测"</x:formula1>
    </x:dataValidation>
    <x:dataValidation type="list" sqref="O5:O24">
      <x:formula1>"待开始,进行中,待复核,已完成,阻塞"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23" hidden="0" customWidth="1"/>
    <x:col min="4" max="4" width="38" hidden="0" customWidth="1"/>
    <x:col min="5" max="5" width="28" hidden="0" customWidth="1"/>
    <x:col min="6" max="6" width="16" hidden="0" customWidth="1"/>
    <x:col min="7" max="7" width="34" hidden="0" customWidth="1"/>
    <x:col min="8" max="8" width="18" hidden="0" customWidth="1"/>
    <x:col min="9" max="9" width="24" hidden="0" customWidth="1"/>
    <x:col min="10" max="10" width="13" hidden="0" customWidth="1"/>
    <x:col min="11" max="11" width="28" hidden="0" customWidth="1"/>
    <x:col min="12" max="12" width="15" hidden="0" customWidth="1"/>
    <x:col min="13" max="13" width="28" hidden="0" customWidth="1"/>
  </x:cols>
  <x:sheetData>
    <x:row r="1" ht="34" customHeight="1">
      <x:c r="A1" s="3" t="str">
        <x:v>选题前七日任务与后续周任务</x:v>
      </x:c>
      <x:c r="B1" s="3" t="str">
        <x:v>选题前七日任务与后续周任务</x:v>
      </x:c>
      <x:c r="C1" s="3" t="str">
        <x:v>选题前七日任务与后续周任务</x:v>
      </x:c>
      <x:c r="D1" s="3" t="str">
        <x:v>选题前七日任务与后续周任务</x:v>
      </x:c>
      <x:c r="E1" s="3" t="str">
        <x:v>选题前七日任务与后续周任务</x:v>
      </x:c>
      <x:c r="F1" s="3" t="str">
        <x:v>选题前七日任务与后续周任务</x:v>
      </x:c>
      <x:c r="G1" s="3" t="str">
        <x:v>选题前七日任务与后续周任务</x:v>
      </x:c>
      <x:c r="H1" s="3" t="str">
        <x:v>选题前七日任务与后续周任务</x:v>
      </x:c>
      <x:c r="I1" s="3" t="str">
        <x:v>选题前七日任务与后续周任务</x:v>
      </x:c>
      <x:c r="J1" s="3" t="str">
        <x:v>选题前七日任务与后续周任务</x:v>
      </x:c>
      <x:c r="K1" s="3" t="str">
        <x:v>选题前七日任务与后续周任务</x:v>
      </x:c>
      <x:c r="L1" s="3" t="str">
        <x:v>选题前七日任务与后续周任务</x:v>
      </x:c>
      <x:c r="M1" s="3" t="str">
        <x:v>选题前七日任务与后续周任务</x:v>
      </x:c>
    </x:row>
    <x:row r="2" ht="30" customHeight="1">
      <x:c r="A2" s="7" t="str">
        <x:v>先使用下面的D1—D7任务；选题冻结后继续向下追加。每项任务必须有交付物、数量和验收标准。</x:v>
      </x:c>
      <x:c r="B2" s="7" t="str">
        <x:v>先使用下面的D1—D7任务；选题冻结后继续向下追加。每项任务必须有交付物、数量和验收标准。</x:v>
      </x:c>
      <x:c r="C2" s="7" t="str">
        <x:v>先使用下面的D1—D7任务；选题冻结后继续向下追加。每项任务必须有交付物、数量和验收标准。</x:v>
      </x:c>
      <x:c r="D2" s="7" t="str">
        <x:v>先使用下面的D1—D7任务；选题冻结后继续向下追加。每项任务必须有交付物、数量和验收标准。</x:v>
      </x:c>
      <x:c r="E2" s="7" t="str">
        <x:v>先使用下面的D1—D7任务；选题冻结后继续向下追加。每项任务必须有交付物、数量和验收标准。</x:v>
      </x:c>
      <x:c r="F2" s="7" t="str">
        <x:v>先使用下面的D1—D7任务；选题冻结后继续向下追加。每项任务必须有交付物、数量和验收标准。</x:v>
      </x:c>
      <x:c r="G2" s="7" t="str">
        <x:v>先使用下面的D1—D7任务；选题冻结后继续向下追加。每项任务必须有交付物、数量和验收标准。</x:v>
      </x:c>
      <x:c r="H2" s="7" t="str">
        <x:v>先使用下面的D1—D7任务；选题冻结后继续向下追加。每项任务必须有交付物、数量和验收标准。</x:v>
      </x:c>
      <x:c r="I2" s="7" t="str">
        <x:v>先使用下面的D1—D7任务；选题冻结后继续向下追加。每项任务必须有交付物、数量和验收标准。</x:v>
      </x:c>
      <x:c r="J2" s="7" t="str">
        <x:v>先使用下面的D1—D7任务；选题冻结后继续向下追加。每项任务必须有交付物、数量和验收标准。</x:v>
      </x:c>
      <x:c r="K2" s="7" t="str">
        <x:v>先使用下面的D1—D7任务；选题冻结后继续向下追加。每项任务必须有交付物、数量和验收标准。</x:v>
      </x:c>
      <x:c r="L2" s="7" t="str">
        <x:v>先使用下面的D1—D7任务；选题冻结后继续向下追加。每项任务必须有交付物、数量和验收标准。</x:v>
      </x:c>
      <x:c r="M2" s="7" t="str">
        <x:v>先使用下面的D1—D7任务；选题冻结后继续向下追加。每项任务必须有交付物、数量和验收标准。</x:v>
      </x:c>
    </x:row>
    <x:row r="4" ht="31" customHeight="1">
      <x:c r="A4" s="13" t="str">
        <x:v>周期</x:v>
      </x:c>
      <x:c r="B4" s="13" t="str">
        <x:v>成员</x:v>
      </x:c>
      <x:c r="C4" s="13" t="str">
        <x:v>任务</x:v>
      </x:c>
      <x:c r="D4" s="13" t="str">
        <x:v>具体动作</x:v>
      </x:c>
      <x:c r="E4" s="13" t="str">
        <x:v>交付文件</x:v>
      </x:c>
      <x:c r="F4" s="13" t="str">
        <x:v>数量／范围</x:v>
      </x:c>
      <x:c r="G4" s="13" t="str">
        <x:v>验收标准</x:v>
      </x:c>
      <x:c r="H4" s="13" t="str">
        <x:v>截止时间</x:v>
      </x:c>
      <x:c r="I4" s="13" t="str">
        <x:v>过程截图</x:v>
      </x:c>
      <x:c r="J4" s="13" t="str">
        <x:v>当前状态</x:v>
      </x:c>
      <x:c r="K4" s="13" t="str">
        <x:v>阻塞问题</x:v>
      </x:c>
      <x:c r="L4" s="13" t="str">
        <x:v>队长验收</x:v>
      </x:c>
      <x:c r="M4" s="13" t="str">
        <x:v>下步动作</x:v>
      </x:c>
    </x:row>
    <x:row r="5">
      <x:c r="A5" s="21" t="str">
        <x:v>D1</x:v>
      </x:c>
      <x:c r="B5" s="21" t="str">
        <x:v>全员</x:v>
      </x:c>
      <x:c r="C5" s="21" t="str">
        <x:v>核对规则并提出题目</x:v>
      </x:c>
      <x:c r="D5" s="21" t="str">
        <x:v>复核硬性要求；每人提出2个候选题</x:v>
      </x:c>
      <x:c r="E5" s="21" t="str">
        <x:v>硬性要求表／候选题登记</x:v>
      </x:c>
      <x:c r="F5" s="21" t="str">
        <x:v>≥8个题目</x:v>
      </x:c>
      <x:c r="G5" s="21" t="str">
        <x:v>符合赛道且不是聊天机器人</x:v>
      </x:c>
      <x:c r="H5" s="50"/>
      <x:c r="I5" s="21" t="str"/>
      <x:c r="J5" s="21" t="str">
        <x:v>待开始</x:v>
      </x:c>
      <x:c r="K5" s="21" t="str"/>
      <x:c r="L5" s="21" t="str"/>
      <x:c r="M5" s="21" t="str"/>
    </x:row>
    <x:row r="6">
      <x:c r="A6" s="22" t="str">
        <x:v>D2</x:v>
      </x:c>
      <x:c r="B6" s="22" t="str">
        <x:v>A</x:v>
      </x:c>
      <x:c r="C6" s="22" t="str">
        <x:v>专业筛查</x:v>
      </x:c>
      <x:c r="D6" s="22" t="str">
        <x:v>为保留题目写用户痛点和3条专业规则</x:v>
      </x:c>
      <x:c r="E6" s="22" t="str">
        <x:v>专业筛查表</x:v>
      </x:c>
      <x:c r="F6" s="22" t="str">
        <x:v>每题3条</x:v>
      </x:c>
      <x:c r="G6" s="22" t="str">
        <x:v>规则有来源，问题真实</x:v>
      </x:c>
      <x:c r="H6" s="51"/>
      <x:c r="I6" s="22" t="str"/>
      <x:c r="J6" s="22" t="str">
        <x:v>待开始</x:v>
      </x:c>
      <x:c r="K6" s="22" t="str"/>
      <x:c r="L6" s="22" t="str"/>
      <x:c r="M6" s="22" t="str"/>
    </x:row>
    <x:row r="7">
      <x:c r="A7" s="22" t="str">
        <x:v>D2</x:v>
      </x:c>
      <x:c r="B7" s="22" t="str">
        <x:v>B</x:v>
      </x:c>
      <x:c r="C7" s="22" t="str">
        <x:v>数据筛查</x:v>
      </x:c>
      <x:c r="D7" s="22" t="str">
        <x:v>查每题输入材料和可验证结果</x:v>
      </x:c>
      <x:c r="E7" s="22" t="str">
        <x:v>数据可得性说明</x:v>
      </x:c>
      <x:c r="F7" s="22" t="str">
        <x:v>每题3份样例</x:v>
      </x:c>
      <x:c r="G7" s="22" t="str">
        <x:v>链接能打开且可合法使用</x:v>
      </x:c>
      <x:c r="H7" s="51"/>
      <x:c r="I7" s="22" t="str"/>
      <x:c r="J7" s="22" t="str">
        <x:v>待开始</x:v>
      </x:c>
      <x:c r="K7" s="22" t="str"/>
      <x:c r="L7" s="22" t="str"/>
      <x:c r="M7" s="22" t="str"/>
    </x:row>
    <x:row r="8">
      <x:c r="A8" s="22" t="str">
        <x:v>D2</x:v>
      </x:c>
      <x:c r="B8" s="22" t="str">
        <x:v>C</x:v>
      </x:c>
      <x:c r="C8" s="22" t="str">
        <x:v>展示筛查</x:v>
      </x:c>
      <x:c r="D8" s="22" t="str">
        <x:v>为每题写3分钟冲突演示和页面草图</x:v>
      </x:c>
      <x:c r="E8" s="22" t="str">
        <x:v>演示故事板</x:v>
      </x:c>
      <x:c r="F8" s="22" t="str">
        <x:v>每题1份</x:v>
      </x:c>
      <x:c r="G8" s="22" t="str">
        <x:v>第一次看能理解前后差异</x:v>
      </x:c>
      <x:c r="H8" s="51"/>
      <x:c r="I8" s="22" t="str"/>
      <x:c r="J8" s="22" t="str">
        <x:v>待开始</x:v>
      </x:c>
      <x:c r="K8" s="22" t="str"/>
      <x:c r="L8" s="22" t="str"/>
      <x:c r="M8" s="22" t="str"/>
    </x:row>
    <x:row r="9">
      <x:c r="A9" s="22" t="str">
        <x:v>D2</x:v>
      </x:c>
      <x:c r="B9" s="22" t="str">
        <x:v>队长</x:v>
      </x:c>
      <x:c r="C9" s="22" t="str">
        <x:v>技术与范围筛查</x:v>
      </x:c>
      <x:c r="D9" s="22" t="str">
        <x:v>判断是否能用Trae／Coze做出四周MVP</x:v>
      </x:c>
      <x:c r="E9" s="22" t="str">
        <x:v>技术可行性说明</x:v>
      </x:c>
      <x:c r="F9" s="22" t="str">
        <x:v>每题1份</x:v>
      </x:c>
      <x:c r="G9" s="22" t="str">
        <x:v>输入—处理—输出闭环明确</x:v>
      </x:c>
      <x:c r="H9" s="51"/>
      <x:c r="I9" s="22" t="str"/>
      <x:c r="J9" s="22" t="str">
        <x:v>待开始</x:v>
      </x:c>
      <x:c r="K9" s="22" t="str"/>
      <x:c r="L9" s="22" t="str"/>
      <x:c r="M9" s="22" t="str"/>
    </x:row>
    <x:row r="10">
      <x:c r="A10" s="22" t="str">
        <x:v>D3</x:v>
      </x:c>
      <x:c r="B10" s="22" t="str">
        <x:v>A＋B</x:v>
      </x:c>
      <x:c r="C10" s="22" t="str">
        <x:v>样例核验</x:v>
      </x:c>
      <x:c r="D10" s="22" t="str">
        <x:v>下载并核验真实资料、页码、日期和用途</x:v>
      </x:c>
      <x:c r="E10" s="22" t="str">
        <x:v>资料来源台账</x:v>
      </x:c>
      <x:c r="F10" s="22" t="str">
        <x:v>每题≥3份</x:v>
      </x:c>
      <x:c r="G10" s="22" t="str">
        <x:v>另一人可以重新找到</x:v>
      </x:c>
      <x:c r="H10" s="51"/>
      <x:c r="I10" s="22" t="str"/>
      <x:c r="J10" s="22" t="str">
        <x:v>待开始</x:v>
      </x:c>
      <x:c r="K10" s="22" t="str"/>
      <x:c r="L10" s="22" t="str"/>
      <x:c r="M10" s="22" t="str"/>
    </x:row>
    <x:row r="11">
      <x:c r="A11" s="22" t="str">
        <x:v>D4</x:v>
      </x:c>
      <x:c r="B11" s="22" t="str">
        <x:v>全员</x:v>
      </x:c>
      <x:c r="C11" s="22" t="str">
        <x:v>设计评测</x:v>
      </x:c>
      <x:c r="D11" s="22" t="str">
        <x:v>写人工参考、比较对象、指标和失败案例</x:v>
      </x:c>
      <x:c r="E11" s="22" t="str">
        <x:v>案例与测试初稿</x:v>
      </x:c>
      <x:c r="F11" s="22" t="str">
        <x:v>前三题各1套</x:v>
      </x:c>
      <x:c r="G11" s="22" t="str">
        <x:v>开发前就能说明如何评分</x:v>
      </x:c>
      <x:c r="H11" s="51"/>
      <x:c r="I11" s="22" t="str"/>
      <x:c r="J11" s="22" t="str">
        <x:v>待开始</x:v>
      </x:c>
      <x:c r="K11" s="22" t="str"/>
      <x:c r="L11" s="22" t="str"/>
      <x:c r="M11" s="22" t="str"/>
    </x:row>
    <x:row r="12">
      <x:c r="A12" s="22" t="str">
        <x:v>D5</x:v>
      </x:c>
      <x:c r="B12" s="22" t="str">
        <x:v>队长</x:v>
      </x:c>
      <x:c r="C12" s="22" t="str">
        <x:v>综合评分</x:v>
      </x:c>
      <x:c r="D12" s="22" t="str">
        <x:v>组织五项评分与一票否决检查</x:v>
      </x:c>
      <x:c r="E12" s="22" t="str">
        <x:v>前三名决策表</x:v>
      </x:c>
      <x:c r="F12" s="22" t="str">
        <x:v>3个题目</x:v>
      </x:c>
      <x:c r="G12" s="22" t="str">
        <x:v>差异有数据和证据支持</x:v>
      </x:c>
      <x:c r="H12" s="51"/>
      <x:c r="I12" s="22" t="str"/>
      <x:c r="J12" s="22" t="str">
        <x:v>待开始</x:v>
      </x:c>
      <x:c r="K12" s="22" t="str"/>
      <x:c r="L12" s="22" t="str"/>
      <x:c r="M12" s="22" t="str"/>
    </x:row>
    <x:row r="13">
      <x:c r="A13" s="22" t="str">
        <x:v>D6</x:v>
      </x:c>
      <x:c r="B13" s="22" t="str">
        <x:v>队长＋A</x:v>
      </x:c>
      <x:c r="C13" s="22" t="str">
        <x:v>教师沟通</x:v>
      </x:c>
      <x:c r="D13" s="22" t="str">
        <x:v>把前三名、边界和具体问题发给老师</x:v>
      </x:c>
      <x:c r="E13" s="22" t="str">
        <x:v>教师反馈记录</x:v>
      </x:c>
      <x:c r="F13" s="22" t="str">
        <x:v>1次集中沟通</x:v>
      </x:c>
      <x:c r="G13" s="22" t="str">
        <x:v>得到支持／调整／淘汰意见</x:v>
      </x:c>
      <x:c r="H13" s="51"/>
      <x:c r="I13" s="22" t="str"/>
      <x:c r="J13" s="22" t="str">
        <x:v>待开始</x:v>
      </x:c>
      <x:c r="K13" s="22" t="str"/>
      <x:c r="L13" s="22" t="str"/>
      <x:c r="M13" s="22" t="str"/>
    </x:row>
    <x:row r="14">
      <x:c r="A14" s="22" t="str">
        <x:v>D7</x:v>
      </x:c>
      <x:c r="B14" s="22" t="str">
        <x:v>全员</x:v>
      </x:c>
      <x:c r="C14" s="22" t="str">
        <x:v>冻结选题</x:v>
      </x:c>
      <x:c r="D14" s="22" t="str">
        <x:v>确定首选、备选和第一版MVP范围</x:v>
      </x:c>
      <x:c r="E14" s="22" t="str">
        <x:v>选题冻结单</x:v>
      </x:c>
      <x:c r="F14" s="22" t="str">
        <x:v>1主1备</x:v>
      </x:c>
      <x:c r="G14" s="22" t="str">
        <x:v>四人能解释选择理由和下一步</x:v>
      </x:c>
      <x:c r="H14" s="51"/>
      <x:c r="I14" s="22" t="str"/>
      <x:c r="J14" s="22" t="str">
        <x:v>待开始</x:v>
      </x:c>
      <x:c r="K14" s="22" t="str"/>
      <x:c r="L14" s="22" t="str"/>
      <x:c r="M14" s="22" t="str"/>
    </x:row>
    <x:row r="15">
      <x:c r="A15" s="22"/>
      <x:c r="B15" s="22"/>
      <x:c r="C15" s="22"/>
      <x:c r="D15" s="22"/>
      <x:c r="E15" s="22"/>
      <x:c r="F15" s="22"/>
      <x:c r="G15" s="22"/>
      <x:c r="H15" s="51"/>
      <x:c r="I15" s="22"/>
      <x:c r="J15" s="22"/>
      <x:c r="K15" s="22"/>
      <x:c r="L15" s="22"/>
      <x:c r="M15" s="22"/>
    </x:row>
    <x:row r="16">
      <x:c r="A16" s="22"/>
      <x:c r="B16" s="22"/>
      <x:c r="C16" s="22"/>
      <x:c r="D16" s="22"/>
      <x:c r="E16" s="22"/>
      <x:c r="F16" s="22"/>
      <x:c r="G16" s="22"/>
      <x:c r="H16" s="51"/>
      <x:c r="I16" s="22"/>
      <x:c r="J16" s="22"/>
      <x:c r="K16" s="22"/>
      <x:c r="L16" s="22"/>
      <x:c r="M16" s="22"/>
    </x:row>
    <x:row r="17">
      <x:c r="A17" s="22"/>
      <x:c r="B17" s="22"/>
      <x:c r="C17" s="22"/>
      <x:c r="D17" s="22"/>
      <x:c r="E17" s="22"/>
      <x:c r="F17" s="22"/>
      <x:c r="G17" s="22"/>
      <x:c r="H17" s="51"/>
      <x:c r="I17" s="22"/>
      <x:c r="J17" s="22"/>
      <x:c r="K17" s="22"/>
      <x:c r="L17" s="22"/>
      <x:c r="M17" s="22"/>
    </x:row>
    <x:row r="18">
      <x:c r="A18" s="22"/>
      <x:c r="B18" s="22"/>
      <x:c r="C18" s="22"/>
      <x:c r="D18" s="22"/>
      <x:c r="E18" s="22"/>
      <x:c r="F18" s="22"/>
      <x:c r="G18" s="22"/>
      <x:c r="H18" s="51"/>
      <x:c r="I18" s="22"/>
      <x:c r="J18" s="22"/>
      <x:c r="K18" s="22"/>
      <x:c r="L18" s="22"/>
      <x:c r="M18" s="22"/>
    </x:row>
    <x:row r="19">
      <x:c r="A19" s="22"/>
      <x:c r="B19" s="22"/>
      <x:c r="C19" s="22"/>
      <x:c r="D19" s="22"/>
      <x:c r="E19" s="22"/>
      <x:c r="F19" s="22"/>
      <x:c r="G19" s="22"/>
      <x:c r="H19" s="51"/>
      <x:c r="I19" s="22"/>
      <x:c r="J19" s="22"/>
      <x:c r="K19" s="22"/>
      <x:c r="L19" s="22"/>
      <x:c r="M19" s="22"/>
    </x:row>
    <x:row r="20">
      <x:c r="A20" s="22"/>
      <x:c r="B20" s="22"/>
      <x:c r="C20" s="22"/>
      <x:c r="D20" s="22"/>
      <x:c r="E20" s="22"/>
      <x:c r="F20" s="22"/>
      <x:c r="G20" s="22"/>
      <x:c r="H20" s="51"/>
      <x:c r="I20" s="22"/>
      <x:c r="J20" s="22"/>
      <x:c r="K20" s="22"/>
      <x:c r="L20" s="22"/>
      <x:c r="M20" s="22"/>
    </x:row>
    <x:row r="21">
      <x:c r="A21" s="22"/>
      <x:c r="B21" s="22"/>
      <x:c r="C21" s="22"/>
      <x:c r="D21" s="22"/>
      <x:c r="E21" s="22"/>
      <x:c r="F21" s="22"/>
      <x:c r="G21" s="22"/>
      <x:c r="H21" s="51"/>
      <x:c r="I21" s="22"/>
      <x:c r="J21" s="22"/>
      <x:c r="K21" s="22"/>
      <x:c r="L21" s="22"/>
      <x:c r="M21" s="22"/>
    </x:row>
    <x:row r="22">
      <x:c r="A22" s="22"/>
      <x:c r="B22" s="22"/>
      <x:c r="C22" s="22"/>
      <x:c r="D22" s="22"/>
      <x:c r="E22" s="22"/>
      <x:c r="F22" s="22"/>
      <x:c r="G22" s="22"/>
      <x:c r="H22" s="51"/>
      <x:c r="I22" s="22"/>
      <x:c r="J22" s="22"/>
      <x:c r="K22" s="22"/>
      <x:c r="L22" s="22"/>
      <x:c r="M22" s="22"/>
    </x:row>
    <x:row r="23">
      <x:c r="A23" s="22"/>
      <x:c r="B23" s="22"/>
      <x:c r="C23" s="22"/>
      <x:c r="D23" s="22"/>
      <x:c r="E23" s="22"/>
      <x:c r="F23" s="22"/>
      <x:c r="G23" s="22"/>
      <x:c r="H23" s="51"/>
      <x:c r="I23" s="22"/>
      <x:c r="J23" s="22"/>
      <x:c r="K23" s="22"/>
      <x:c r="L23" s="22"/>
      <x:c r="M23" s="22"/>
    </x:row>
    <x:row r="24">
      <x:c r="A24" s="22"/>
      <x:c r="B24" s="22"/>
      <x:c r="C24" s="22"/>
      <x:c r="D24" s="22"/>
      <x:c r="E24" s="22"/>
      <x:c r="F24" s="22"/>
      <x:c r="G24" s="22"/>
      <x:c r="H24" s="51"/>
      <x:c r="I24" s="22"/>
      <x:c r="J24" s="22"/>
      <x:c r="K24" s="22"/>
      <x:c r="L24" s="22"/>
      <x:c r="M24" s="22"/>
    </x:row>
    <x:row r="25">
      <x:c r="A25" s="22"/>
      <x:c r="B25" s="22"/>
      <x:c r="C25" s="22"/>
      <x:c r="D25" s="22"/>
      <x:c r="E25" s="22"/>
      <x:c r="F25" s="22"/>
      <x:c r="G25" s="22"/>
      <x:c r="H25" s="51"/>
      <x:c r="I25" s="22"/>
      <x:c r="J25" s="22"/>
      <x:c r="K25" s="22"/>
      <x:c r="L25" s="22"/>
      <x:c r="M25" s="22"/>
    </x:row>
    <x:row r="26">
      <x:c r="A26" s="22"/>
      <x:c r="B26" s="22"/>
      <x:c r="C26" s="22"/>
      <x:c r="D26" s="22"/>
      <x:c r="E26" s="22"/>
      <x:c r="F26" s="22"/>
      <x:c r="G26" s="22"/>
      <x:c r="H26" s="51"/>
      <x:c r="I26" s="22"/>
      <x:c r="J26" s="22"/>
      <x:c r="K26" s="22"/>
      <x:c r="L26" s="22"/>
      <x:c r="M26" s="22"/>
    </x:row>
    <x:row r="27">
      <x:c r="A27" s="22"/>
      <x:c r="B27" s="22"/>
      <x:c r="C27" s="22"/>
      <x:c r="D27" s="22"/>
      <x:c r="E27" s="22"/>
      <x:c r="F27" s="22"/>
      <x:c r="G27" s="22"/>
      <x:c r="H27" s="51"/>
      <x:c r="I27" s="22"/>
      <x:c r="J27" s="22"/>
      <x:c r="K27" s="22"/>
      <x:c r="L27" s="22"/>
      <x:c r="M27" s="22"/>
    </x:row>
    <x:row r="28">
      <x:c r="A28" s="22"/>
      <x:c r="B28" s="22"/>
      <x:c r="C28" s="22"/>
      <x:c r="D28" s="22"/>
      <x:c r="E28" s="22"/>
      <x:c r="F28" s="22"/>
      <x:c r="G28" s="22"/>
      <x:c r="H28" s="51"/>
      <x:c r="I28" s="22"/>
      <x:c r="J28" s="22"/>
      <x:c r="K28" s="22"/>
      <x:c r="L28" s="22"/>
      <x:c r="M28" s="22"/>
    </x:row>
    <x:row r="29">
      <x:c r="A29" s="22"/>
      <x:c r="B29" s="22"/>
      <x:c r="C29" s="22"/>
      <x:c r="D29" s="22"/>
      <x:c r="E29" s="22"/>
      <x:c r="F29" s="22"/>
      <x:c r="G29" s="22"/>
      <x:c r="H29" s="51"/>
      <x:c r="I29" s="22"/>
      <x:c r="J29" s="22"/>
      <x:c r="K29" s="22"/>
      <x:c r="L29" s="22"/>
      <x:c r="M29" s="22"/>
    </x:row>
    <x:row r="30">
      <x:c r="A30" s="22"/>
      <x:c r="B30" s="22"/>
      <x:c r="C30" s="22"/>
      <x:c r="D30" s="22"/>
      <x:c r="E30" s="22"/>
      <x:c r="F30" s="22"/>
      <x:c r="G30" s="22"/>
      <x:c r="H30" s="51"/>
      <x:c r="I30" s="22"/>
      <x:c r="J30" s="22"/>
      <x:c r="K30" s="22"/>
      <x:c r="L30" s="22"/>
      <x:c r="M30" s="22"/>
    </x:row>
  </x:sheetData>
  <x:mergeCells>
    <x:mergeCell ref="A1:M1"/>
    <x:mergeCell ref="A2:M2"/>
  </x:mergeCells>
  <x:conditionalFormatting sqref="J5:J30">
    <x:cfRule type="containsText" dxfId="16" priority="1" operator="containsText" text="已完成"/>
    <x:cfRule type="containsText" dxfId="17" priority="2" operator="containsText" text="阻塞"/>
    <x:cfRule type="containsText" dxfId="18" priority="3" operator="containsText" text="待"/>
  </x:conditionalFormatting>
  <x:dataValidations count="2">
    <x:dataValidation type="list" sqref="J5:J30">
      <x:formula1>"待开始,进行中,待复核,已完成,阻塞"</x:formula1>
    </x:dataValidation>
    <x:dataValidation type="list" sqref="L5:L30">
      <x:formula1>"未验收,通过,退回修改"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32" hidden="0" customWidth="1"/>
    <x:col min="4" max="4" width="30" hidden="0" customWidth="1"/>
    <x:col min="5" max="5" width="32" hidden="0" customWidth="1"/>
    <x:col min="6" max="6" width="18" hidden="0" customWidth="1"/>
    <x:col min="7" max="7" width="13" hidden="0" customWidth="1"/>
    <x:col min="8" max="8" width="32" hidden="0" customWidth="1"/>
    <x:col min="9" max="9" width="30" hidden="0" customWidth="1"/>
    <x:col min="10" max="10" width="12" hidden="0" customWidth="1"/>
    <x:col min="11" max="11" width="13" hidden="0" customWidth="1"/>
  </x:cols>
  <x:sheetData>
    <x:row r="1" ht="34" customHeight="1">
      <x:c r="A1" s="3" t="str">
        <x:v>需教师／学校／组委会确认的问题</x:v>
      </x:c>
      <x:c r="B1" s="3" t="str">
        <x:v>需教师／学校／组委会确认的问题</x:v>
      </x:c>
      <x:c r="C1" s="3" t="str">
        <x:v>需教师／学校／组委会确认的问题</x:v>
      </x:c>
      <x:c r="D1" s="3" t="str">
        <x:v>需教师／学校／组委会确认的问题</x:v>
      </x:c>
      <x:c r="E1" s="3" t="str">
        <x:v>需教师／学校／组委会确认的问题</x:v>
      </x:c>
      <x:c r="F1" s="3" t="str">
        <x:v>需教师／学校／组委会确认的问题</x:v>
      </x:c>
      <x:c r="G1" s="3" t="str">
        <x:v>需教师／学校／组委会确认的问题</x:v>
      </x:c>
      <x:c r="H1" s="3" t="str">
        <x:v>需教师／学校／组委会确认的问题</x:v>
      </x:c>
      <x:c r="I1" s="3" t="str">
        <x:v>需教师／学校／组委会确认的问题</x:v>
      </x:c>
      <x:c r="J1" s="3" t="str">
        <x:v>需教师／学校／组委会确认的问题</x:v>
      </x:c>
      <x:c r="K1" s="3" t="str">
        <x:v>需教师／学校／组委会确认的问题</x:v>
      </x:c>
    </x:row>
    <x:row r="2" ht="30" customHeight="1">
      <x:c r="A2" s="7" t="str">
        <x:v>口头意见也要记录：问题、为什么重要、备选方案、最终决定、日期和后续动作。</x:v>
      </x:c>
      <x:c r="B2" s="7" t="str">
        <x:v>口头意见也要记录：问题、为什么重要、备选方案、最终决定、日期和后续动作。</x:v>
      </x:c>
      <x:c r="C2" s="7" t="str">
        <x:v>口头意见也要记录：问题、为什么重要、备选方案、最终决定、日期和后续动作。</x:v>
      </x:c>
      <x:c r="D2" s="7" t="str">
        <x:v>口头意见也要记录：问题、为什么重要、备选方案、最终决定、日期和后续动作。</x:v>
      </x:c>
      <x:c r="E2" s="7" t="str">
        <x:v>口头意见也要记录：问题、为什么重要、备选方案、最终决定、日期和后续动作。</x:v>
      </x:c>
      <x:c r="F2" s="7" t="str">
        <x:v>口头意见也要记录：问题、为什么重要、备选方案、最终决定、日期和后续动作。</x:v>
      </x:c>
      <x:c r="G2" s="7" t="str">
        <x:v>口头意见也要记录：问题、为什么重要、备选方案、最终决定、日期和后续动作。</x:v>
      </x:c>
      <x:c r="H2" s="7" t="str">
        <x:v>口头意见也要记录：问题、为什么重要、备选方案、最终决定、日期和后续动作。</x:v>
      </x:c>
      <x:c r="I2" s="7" t="str">
        <x:v>口头意见也要记录：问题、为什么重要、备选方案、最终决定、日期和后续动作。</x:v>
      </x:c>
      <x:c r="J2" s="7" t="str">
        <x:v>口头意见也要记录：问题、为什么重要、备选方案、最终决定、日期和后续动作。</x:v>
      </x:c>
      <x:c r="K2" s="7" t="str">
        <x:v>口头意见也要记录：问题、为什么重要、备选方案、最终决定、日期和后续动作。</x:v>
      </x:c>
    </x:row>
    <x:row r="4" ht="31" customHeight="1">
      <x:c r="A4" s="13" t="str">
        <x:v>问题ID</x:v>
      </x:c>
      <x:c r="B4" s="13" t="str">
        <x:v>问题</x:v>
      </x:c>
      <x:c r="C4" s="13" t="str">
        <x:v>为什么重要</x:v>
      </x:c>
      <x:c r="D4" s="13" t="str">
        <x:v>当前已知</x:v>
      </x:c>
      <x:c r="E4" s="13" t="str">
        <x:v>备选方案</x:v>
      </x:c>
      <x:c r="F4" s="13" t="str">
        <x:v>需要谁确认</x:v>
      </x:c>
      <x:c r="G4" s="13" t="str">
        <x:v>最晚日期</x:v>
      </x:c>
      <x:c r="H4" s="13" t="str">
        <x:v>最终决定</x:v>
      </x:c>
      <x:c r="I4" s="13" t="str">
        <x:v>后续动作</x:v>
      </x:c>
      <x:c r="J4" s="13" t="str">
        <x:v>负责人</x:v>
      </x:c>
      <x:c r="K4" s="13" t="str">
        <x:v>状态</x:v>
      </x:c>
    </x:row>
    <x:row r="5">
      <x:c r="A5" s="21" t="str">
        <x:v>Q-01</x:v>
      </x:c>
      <x:c r="B5" s="21" t="str">
        <x:v>最终选择哪个题目及首版行业／业务范围</x:v>
      </x:c>
      <x:c r="C5" s="21" t="str">
        <x:v>决定后续资料和专业工作</x:v>
      </x:c>
      <x:c r="D5" s="21" t="str">
        <x:v>候选题尚未冻结</x:v>
      </x:c>
      <x:c r="E5" s="21" t="str">
        <x:v>三选一＋一个备选</x:v>
      </x:c>
      <x:c r="F5" s="21" t="str">
        <x:v>指导教师</x:v>
      </x:c>
      <x:c r="G5" s="33"/>
      <x:c r="H5" s="21" t="str"/>
      <x:c r="I5" s="21" t="str"/>
      <x:c r="J5" s="21" t="str">
        <x:v>队长</x:v>
      </x:c>
      <x:c r="K5" s="21" t="str">
        <x:v>待确认</x:v>
      </x:c>
    </x:row>
    <x:row r="6">
      <x:c r="A6" s="22" t="str">
        <x:v>Q-02</x:v>
      </x:c>
      <x:c r="B6" s="22" t="str">
        <x:v>三项主创新是否足够突出</x:v>
      </x:c>
      <x:c r="C6" s="22" t="str">
        <x:v>直接影响初赛评分和展示</x:v>
      </x:c>
      <x:c r="D6" s="22" t="str">
        <x:v>原则上为专业方法＋复核机制＋客观评测</x:v>
      </x:c>
      <x:c r="E6" s="22" t="str">
        <x:v>保留／调整／重选</x:v>
      </x:c>
      <x:c r="F6" s="22" t="str">
        <x:v>指导教师</x:v>
      </x:c>
      <x:c r="G6" s="34"/>
      <x:c r="H6" s="22" t="str"/>
      <x:c r="I6" s="22" t="str"/>
      <x:c r="J6" s="22" t="str">
        <x:v>队长</x:v>
      </x:c>
      <x:c r="K6" s="22" t="str">
        <x:v>待确认</x:v>
      </x:c>
    </x:row>
    <x:row r="7">
      <x:c r="A7" s="22" t="str">
        <x:v>Q-03</x:v>
      </x:c>
      <x:c r="B7" s="22" t="str">
        <x:v>专业边界与措辞是否准确</x:v>
      </x:c>
      <x:c r="C7" s="22" t="str">
        <x:v>避免把风险线索写成结论</x:v>
      </x:c>
      <x:c r="D7" s="22" t="str">
        <x:v>仅作学习与辅助</x:v>
      </x:c>
      <x:c r="E7" s="22" t="str">
        <x:v>由老师抽查风险／决策卡</x:v>
      </x:c>
      <x:c r="F7" s="22" t="str">
        <x:v>指导教师</x:v>
      </x:c>
      <x:c r="G7" s="34"/>
      <x:c r="H7" s="22" t="str"/>
      <x:c r="I7" s="22" t="str"/>
      <x:c r="J7" s="22" t="str">
        <x:v>A</x:v>
      </x:c>
      <x:c r="K7" s="22" t="str">
        <x:v>待确认</x:v>
      </x:c>
    </x:row>
    <x:row r="8">
      <x:c r="A8" s="22" t="str">
        <x:v>Q-04</x:v>
      </x:c>
      <x:c r="B8" s="22" t="str">
        <x:v>哪些数据可以公开用于比赛</x:v>
      </x:c>
      <x:c r="C8" s="22" t="str">
        <x:v>关系到合规和可复现</x:v>
      </x:c>
      <x:c r="D8" s="22" t="str">
        <x:v>优先官方公开材料</x:v>
      </x:c>
      <x:c r="E8" s="22" t="str">
        <x:v>公开／授权脱敏／不可用</x:v>
      </x:c>
      <x:c r="F8" s="22" t="str">
        <x:v>指导教师／学校</x:v>
      </x:c>
      <x:c r="G8" s="34"/>
      <x:c r="H8" s="22" t="str"/>
      <x:c r="I8" s="22" t="str"/>
      <x:c r="J8" s="22" t="str">
        <x:v>B</x:v>
      </x:c>
      <x:c r="K8" s="22" t="str">
        <x:v>待确认</x:v>
      </x:c>
    </x:row>
    <x:row r="9">
      <x:c r="A9" s="22" t="str">
        <x:v>Q-05</x:v>
      </x:c>
      <x:c r="B9" s="22" t="str">
        <x:v>Coze云端工作流加本地Python项目的提交形式</x:v>
      </x:c>
      <x:c r="C9" s="22" t="str">
        <x:v>关系到现场运行与代码提交</x:v>
      </x:c>
      <x:c r="D9" s="22" t="str">
        <x:v>Trae是开发方式，Python是运行底座</x:v>
      </x:c>
      <x:c r="E9" s="22" t="str">
        <x:v>云端调用／本地备用／两者结合</x:v>
      </x:c>
      <x:c r="F9" s="22" t="str">
        <x:v>学校／组委会</x:v>
      </x:c>
      <x:c r="G9" s="34"/>
      <x:c r="H9" s="22" t="str"/>
      <x:c r="I9" s="22" t="str"/>
      <x:c r="J9" s="22" t="str">
        <x:v>队长</x:v>
      </x:c>
      <x:c r="K9" s="22" t="str">
        <x:v>待确认</x:v>
      </x:c>
    </x:row>
    <x:row r="10">
      <x:c r="A10" s="22" t="str">
        <x:v>Q-06</x:v>
      </x:c>
      <x:c r="B10" s="22" t="str">
        <x:v>初赛是否需同时提交完整代码与技术报告</x:v>
      </x:c>
      <x:c r="C10" s="22" t="str">
        <x:v>影响时间安排</x:v>
      </x:c>
      <x:c r="D10" s="22" t="str">
        <x:v>手册与宣传口径需核对</x:v>
      </x:c>
      <x:c r="E10" s="22" t="str">
        <x:v>按最严格准备／等待确认</x:v>
      </x:c>
      <x:c r="F10" s="22" t="str">
        <x:v>学校／组委会</x:v>
      </x:c>
      <x:c r="G10" s="34"/>
      <x:c r="H10" s="22" t="str"/>
      <x:c r="I10" s="22" t="str"/>
      <x:c r="J10" s="22" t="str">
        <x:v>队长</x:v>
      </x:c>
      <x:c r="K10" s="22" t="str">
        <x:v>待确认</x:v>
      </x:c>
    </x:row>
    <x:row r="11">
      <x:c r="A11" s="22" t="str">
        <x:v>Q-07</x:v>
      </x:c>
      <x:c r="B11" s="22" t="str">
        <x:v>效果评估样本和指标是否合理</x:v>
      </x:c>
      <x:c r="C11" s="22" t="str">
        <x:v>避免样本太少或指标不专业</x:v>
      </x:c>
      <x:c r="D11" s="22" t="str">
        <x:v>拟有人工参考和普通方法对比</x:v>
      </x:c>
      <x:c r="E11" s="22" t="str">
        <x:v>教师抽查／扩大样本／调整指标</x:v>
      </x:c>
      <x:c r="F11" s="22" t="str">
        <x:v>指导教师</x:v>
      </x:c>
      <x:c r="G11" s="34"/>
      <x:c r="H11" s="22" t="str"/>
      <x:c r="I11" s="22" t="str"/>
      <x:c r="J11" s="22" t="str">
        <x:v>B</x:v>
      </x:c>
      <x:c r="K11" s="22" t="str">
        <x:v>待确认</x:v>
      </x:c>
    </x:row>
    <x:row r="12">
      <x:c r="A12" s="22" t="str">
        <x:v>Q-08</x:v>
      </x:c>
      <x:c r="B12" s="22" t="str">
        <x:v>四名成员在视频与答辩中的具体要求</x:v>
      </x:c>
      <x:c r="C12" s="22" t="str">
        <x:v>影响脚本和素材</x:v>
      </x:c>
      <x:c r="D12" s="22" t="str">
        <x:v>视频需全员参与的可能性高</x:v>
      </x:c>
      <x:c r="E12" s="22" t="str">
        <x:v>按最严格版本安排</x:v>
      </x:c>
      <x:c r="F12" s="22" t="str">
        <x:v>学校／组委会</x:v>
      </x:c>
      <x:c r="G12" s="34"/>
      <x:c r="H12" s="22" t="str"/>
      <x:c r="I12" s="22" t="str"/>
      <x:c r="J12" s="22" t="str">
        <x:v>C</x:v>
      </x:c>
      <x:c r="K12" s="22" t="str">
        <x:v>待确认</x:v>
      </x:c>
    </x:row>
    <x:row r="13">
      <x:c r="A13" s="22"/>
      <x:c r="B13" s="22"/>
      <x:c r="C13" s="22"/>
      <x:c r="D13" s="22"/>
      <x:c r="E13" s="22"/>
      <x:c r="F13" s="22"/>
      <x:c r="G13" s="34"/>
      <x:c r="H13" s="22"/>
      <x:c r="I13" s="22"/>
      <x:c r="J13" s="22"/>
      <x:c r="K13" s="22"/>
    </x:row>
    <x:row r="14">
      <x:c r="A14" s="22"/>
      <x:c r="B14" s="22"/>
      <x:c r="C14" s="22"/>
      <x:c r="D14" s="22"/>
      <x:c r="E14" s="22"/>
      <x:c r="F14" s="22"/>
      <x:c r="G14" s="34"/>
      <x:c r="H14" s="22"/>
      <x:c r="I14" s="22"/>
      <x:c r="J14" s="22"/>
      <x:c r="K14" s="22"/>
    </x:row>
    <x:row r="15">
      <x:c r="A15" s="22"/>
      <x:c r="B15" s="22"/>
      <x:c r="C15" s="22"/>
      <x:c r="D15" s="22"/>
      <x:c r="E15" s="22"/>
      <x:c r="F15" s="22"/>
      <x:c r="G15" s="34"/>
      <x:c r="H15" s="22"/>
      <x:c r="I15" s="22"/>
      <x:c r="J15" s="22"/>
      <x:c r="K15" s="22"/>
    </x:row>
    <x:row r="16">
      <x:c r="A16" s="22"/>
      <x:c r="B16" s="22"/>
      <x:c r="C16" s="22"/>
      <x:c r="D16" s="22"/>
      <x:c r="E16" s="22"/>
      <x:c r="F16" s="22"/>
      <x:c r="G16" s="34"/>
      <x:c r="H16" s="22"/>
      <x:c r="I16" s="22"/>
      <x:c r="J16" s="22"/>
      <x:c r="K16" s="22"/>
    </x:row>
    <x:row r="17">
      <x:c r="A17" s="22"/>
      <x:c r="B17" s="22"/>
      <x:c r="C17" s="22"/>
      <x:c r="D17" s="22"/>
      <x:c r="E17" s="22"/>
      <x:c r="F17" s="22"/>
      <x:c r="G17" s="34"/>
      <x:c r="H17" s="22"/>
      <x:c r="I17" s="22"/>
      <x:c r="J17" s="22"/>
      <x:c r="K17" s="22"/>
    </x:row>
    <x:row r="18">
      <x:c r="A18" s="22"/>
      <x:c r="B18" s="22"/>
      <x:c r="C18" s="22"/>
      <x:c r="D18" s="22"/>
      <x:c r="E18" s="22"/>
      <x:c r="F18" s="22"/>
      <x:c r="G18" s="34"/>
      <x:c r="H18" s="22"/>
      <x:c r="I18" s="22"/>
      <x:c r="J18" s="22"/>
      <x:c r="K18" s="22"/>
    </x:row>
    <x:row r="19">
      <x:c r="A19" s="22"/>
      <x:c r="B19" s="22"/>
      <x:c r="C19" s="22"/>
      <x:c r="D19" s="22"/>
      <x:c r="E19" s="22"/>
      <x:c r="F19" s="22"/>
      <x:c r="G19" s="34"/>
      <x:c r="H19" s="22"/>
      <x:c r="I19" s="22"/>
      <x:c r="J19" s="22"/>
      <x:c r="K19" s="22"/>
    </x:row>
    <x:row r="20">
      <x:c r="A20" s="22"/>
      <x:c r="B20" s="22"/>
      <x:c r="C20" s="22"/>
      <x:c r="D20" s="22"/>
      <x:c r="E20" s="22"/>
      <x:c r="F20" s="22"/>
      <x:c r="G20" s="34"/>
      <x:c r="H20" s="22"/>
      <x:c r="I20" s="22"/>
      <x:c r="J20" s="22"/>
      <x:c r="K20" s="22"/>
    </x:row>
    <x:row r="21">
      <x:c r="A21" s="22"/>
      <x:c r="B21" s="22"/>
      <x:c r="C21" s="22"/>
      <x:c r="D21" s="22"/>
      <x:c r="E21" s="22"/>
      <x:c r="F21" s="22"/>
      <x:c r="G21" s="34"/>
      <x:c r="H21" s="22"/>
      <x:c r="I21" s="22"/>
      <x:c r="J21" s="22"/>
      <x:c r="K21" s="22"/>
    </x:row>
    <x:row r="22">
      <x:c r="A22" s="22"/>
      <x:c r="B22" s="22"/>
      <x:c r="C22" s="22"/>
      <x:c r="D22" s="22"/>
      <x:c r="E22" s="22"/>
      <x:c r="F22" s="22"/>
      <x:c r="G22" s="34"/>
      <x:c r="H22" s="22"/>
      <x:c r="I22" s="22"/>
      <x:c r="J22" s="22"/>
      <x:c r="K22" s="22"/>
    </x:row>
    <x:row r="23">
      <x:c r="A23" s="22"/>
      <x:c r="B23" s="22"/>
      <x:c r="C23" s="22"/>
      <x:c r="D23" s="22"/>
      <x:c r="E23" s="22"/>
      <x:c r="F23" s="22"/>
      <x:c r="G23" s="34"/>
      <x:c r="H23" s="22"/>
      <x:c r="I23" s="22"/>
      <x:c r="J23" s="22"/>
      <x:c r="K23" s="22"/>
    </x:row>
    <x:row r="24">
      <x:c r="A24" s="22"/>
      <x:c r="B24" s="22"/>
      <x:c r="C24" s="22"/>
      <x:c r="D24" s="22"/>
      <x:c r="E24" s="22"/>
      <x:c r="F24" s="22"/>
      <x:c r="G24" s="34"/>
      <x:c r="H24" s="22"/>
      <x:c r="I24" s="22"/>
      <x:c r="J24" s="22"/>
      <x:c r="K24" s="22"/>
    </x:row>
    <x:row r="25">
      <x:c r="A25" s="22"/>
      <x:c r="B25" s="22"/>
      <x:c r="C25" s="22"/>
      <x:c r="D25" s="22"/>
      <x:c r="E25" s="22"/>
      <x:c r="F25" s="22"/>
      <x:c r="G25" s="34"/>
      <x:c r="H25" s="22"/>
      <x:c r="I25" s="22"/>
      <x:c r="J25" s="22"/>
      <x:c r="K25" s="22"/>
    </x:row>
  </x:sheetData>
  <x:mergeCells>
    <x:mergeCell ref="A1:K1"/>
    <x:mergeCell ref="A2:K2"/>
  </x:mergeCells>
  <x:conditionalFormatting sqref="K5:K25">
    <x:cfRule type="containsText" dxfId="19" priority="1" operator="containsText" text="已完成"/>
    <x:cfRule type="containsText" dxfId="20" priority="2" operator="containsText" text="阻塞"/>
    <x:cfRule type="containsText" dxfId="21" priority="3" operator="containsText" text="待"/>
  </x:conditionalFormatting>
  <x:dataValidations count="1">
    <x:dataValidation type="list" sqref="K5:K25">
      <x:formula1>"待确认,已询问,已决定,阻塞"</x:formula1>
    </x:dataValidation>
  </x:dataValidations>
  <x:pageMargins left="0.7" right="0.7" top="0.75" bottom="0.75" header="0.3" footer="0.3"/>
</x:worksheet>
</file>